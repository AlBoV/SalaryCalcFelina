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ksei/Dropbox/Projects/Felina/PythonProjects/FromLoginToNexonImportBonuses/Data/"/>
    </mc:Choice>
  </mc:AlternateContent>
  <xr:revisionPtr revIDLastSave="0" documentId="13_ncr:1_{DFC33280-A553-504F-B39D-165350A502EC}" xr6:coauthVersionLast="47" xr6:coauthVersionMax="47" xr10:uidLastSave="{00000000-0000-0000-0000-000000000000}"/>
  <bookViews>
    <workbookView xWindow="-120" yWindow="760" windowWidth="32080" windowHeight="17260" xr2:uid="{00000000-000D-0000-FFFF-FFFF00000000}"/>
  </bookViews>
  <sheets>
    <sheet name="egyéni teljesítményszázalékok" sheetId="1" r:id="rId1"/>
    <sheet name="monthly supplements" sheetId="2" r:id="rId2"/>
  </sheets>
  <definedNames>
    <definedName name="_xlnm._FilterDatabase" localSheetId="0" hidden="1">'egyéni teljesítményszázalékok'!$A$1:$J$189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2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</calcChain>
</file>

<file path=xl/sharedStrings.xml><?xml version="1.0" encoding="utf-8"?>
<sst xmlns="http://schemas.openxmlformats.org/spreadsheetml/2006/main" count="1216" uniqueCount="233">
  <si>
    <t>egység</t>
  </si>
  <si>
    <t>hónap</t>
  </si>
  <si>
    <t>taj</t>
  </si>
  <si>
    <t>név</t>
  </si>
  <si>
    <t>besorolas</t>
  </si>
  <si>
    <t>teljóra</t>
  </si>
  <si>
    <t>normaperc</t>
  </si>
  <si>
    <t>idöbér</t>
  </si>
  <si>
    <t>Szabászat</t>
  </si>
  <si>
    <t>Szegh. Csomagoló</t>
  </si>
  <si>
    <t>Szegh. Gyárt. E.</t>
  </si>
  <si>
    <t>Szegh. Log.</t>
  </si>
  <si>
    <t>Szegh. MEO.</t>
  </si>
  <si>
    <t>Szegh. Statisztikai  MEO.</t>
  </si>
  <si>
    <t>Szegh. Varroda</t>
  </si>
  <si>
    <t>Szegh.ált.</t>
  </si>
  <si>
    <t>TERMÉKFEJLESZTÉS</t>
  </si>
  <si>
    <t>Varroda 1</t>
  </si>
  <si>
    <t>Varroda 2</t>
  </si>
  <si>
    <t>Varroda 3</t>
  </si>
  <si>
    <t>Varroda 4</t>
  </si>
  <si>
    <t>Varroda 5</t>
  </si>
  <si>
    <t>Vállpánt.készítés</t>
  </si>
  <si>
    <t>2024-12</t>
  </si>
  <si>
    <t>Csermákné Szalai Margit</t>
  </si>
  <si>
    <t>Varga Éva</t>
  </si>
  <si>
    <t>Vig Edit Piroska</t>
  </si>
  <si>
    <t>Boros Szilvia</t>
  </si>
  <si>
    <t>Kovács Katalin Ágnes</t>
  </si>
  <si>
    <t>Lovas Károlyné</t>
  </si>
  <si>
    <t>Balog Ildikó</t>
  </si>
  <si>
    <t>Otleczné Boros Tímea</t>
  </si>
  <si>
    <t>Németi Ildikó</t>
  </si>
  <si>
    <t>Kormányos Ágnes</t>
  </si>
  <si>
    <t>Hajduné Lengyel Mária</t>
  </si>
  <si>
    <t>Pappné Kovács Andrea</t>
  </si>
  <si>
    <t>Serbán Istvánné</t>
  </si>
  <si>
    <t>Köleséri Julianna</t>
  </si>
  <si>
    <t>Tóth István</t>
  </si>
  <si>
    <t>Vasváriné Vig Mónika</t>
  </si>
  <si>
    <t>Csüllög Béláné</t>
  </si>
  <si>
    <t>Kovács Józsefné</t>
  </si>
  <si>
    <t>Losonczi Erzsébet</t>
  </si>
  <si>
    <t>Tatár Lászlóné</t>
  </si>
  <si>
    <t>Petri Eszter Judit</t>
  </si>
  <si>
    <t>Juhász Erika</t>
  </si>
  <si>
    <t>Víg Erika</t>
  </si>
  <si>
    <t>Banga Ilona</t>
  </si>
  <si>
    <t>Nacsa Marianna</t>
  </si>
  <si>
    <t>Macsári Mónika</t>
  </si>
  <si>
    <t>Pálfiné Szabó Brigitta</t>
  </si>
  <si>
    <t>Kiss Krisztina</t>
  </si>
  <si>
    <t>Beke Istvánné</t>
  </si>
  <si>
    <t>Nagy Melinda</t>
  </si>
  <si>
    <t>Tóth Katalin Margit</t>
  </si>
  <si>
    <t>Tóth Mónika Erzsébet</t>
  </si>
  <si>
    <t>Csikósné Tóth Anikó</t>
  </si>
  <si>
    <t>Magyar Erika</t>
  </si>
  <si>
    <t>Szőllősi Mihályné</t>
  </si>
  <si>
    <t>Vaszkó Imréné</t>
  </si>
  <si>
    <t>Darvasi Jolán</t>
  </si>
  <si>
    <t>Gellén Gyuláné</t>
  </si>
  <si>
    <t>Pásztor Ilona</t>
  </si>
  <si>
    <t>Kovácsné Gurmai Terézia</t>
  </si>
  <si>
    <t>Papp Sándor Károlyné</t>
  </si>
  <si>
    <t>Bélteki Gyuláné</t>
  </si>
  <si>
    <t>Sági Lászlóné</t>
  </si>
  <si>
    <t>Cseh Edina</t>
  </si>
  <si>
    <t>Kecskés Mihályné</t>
  </si>
  <si>
    <t>Csontos Éva</t>
  </si>
  <si>
    <t>Gáborné Kürti Eszter</t>
  </si>
  <si>
    <t>Nagyné Ecsedi Ágnes</t>
  </si>
  <si>
    <t>Kovács Ferencné</t>
  </si>
  <si>
    <t>Mogyorósi Gyuláné</t>
  </si>
  <si>
    <t>Pápistáné Patai Irén</t>
  </si>
  <si>
    <t>Kincses Róza</t>
  </si>
  <si>
    <t>Orbánné Barna Hajnalka Katalin</t>
  </si>
  <si>
    <t>Győri Attiláné</t>
  </si>
  <si>
    <t>Kovács Péterné</t>
  </si>
  <si>
    <t>Tóthné Kovács Katalin</t>
  </si>
  <si>
    <t>Barta Marianna</t>
  </si>
  <si>
    <t>Miókovicsné Darabont Katalin</t>
  </si>
  <si>
    <t>Bujdosó Szilvia</t>
  </si>
  <si>
    <t>Koncz Szilvia</t>
  </si>
  <si>
    <t>Laskai Nóra</t>
  </si>
  <si>
    <t>Faránki Ilona</t>
  </si>
  <si>
    <t>Bere Gabriella</t>
  </si>
  <si>
    <t>Kovács Szilvia Enikő</t>
  </si>
  <si>
    <t>Rác Barbara</t>
  </si>
  <si>
    <t>Szabóné Budács Erzsébet</t>
  </si>
  <si>
    <t>Jenesné Pálfi Irén</t>
  </si>
  <si>
    <t>Jámbor Jánosné</t>
  </si>
  <si>
    <t>Kiss Lászlóné</t>
  </si>
  <si>
    <t>Szekerczés Lajosné</t>
  </si>
  <si>
    <t>Nagy Sándorné</t>
  </si>
  <si>
    <t>Adamecz Gyuláné</t>
  </si>
  <si>
    <t>Szőke Sándorné</t>
  </si>
  <si>
    <t>Rácz Pálné</t>
  </si>
  <si>
    <t>Földesi Imréné</t>
  </si>
  <si>
    <t>Szarkáné Csüllög Ilona</t>
  </si>
  <si>
    <t>Bodóczki Lajosné</t>
  </si>
  <si>
    <t>Ladányi Tiborné</t>
  </si>
  <si>
    <t>Tóth Lászlóné</t>
  </si>
  <si>
    <t>Mohácsi Ivánné</t>
  </si>
  <si>
    <t>Kerékgyártóné Szabó Anikó Rozália</t>
  </si>
  <si>
    <t>Forrásné Juhász Irma</t>
  </si>
  <si>
    <t>Zsila Lászlóné</t>
  </si>
  <si>
    <t>Szőke Petronella</t>
  </si>
  <si>
    <t>Simon Margit</t>
  </si>
  <si>
    <t>Bíróné Pintye Ilona</t>
  </si>
  <si>
    <t>Pirosné Nyiri Szilvia</t>
  </si>
  <si>
    <t>Pásztorné Koncz Noémi</t>
  </si>
  <si>
    <t>Sille Józsefné</t>
  </si>
  <si>
    <t>Dudoma Marianna</t>
  </si>
  <si>
    <t>Almási Zsigmondné</t>
  </si>
  <si>
    <t>Szőke Mónika</t>
  </si>
  <si>
    <t>Pappné Metz Tímea</t>
  </si>
  <si>
    <t>Kövér Erika</t>
  </si>
  <si>
    <t>Dékány Andrea</t>
  </si>
  <si>
    <t>Hajzerné Szabó Ildikó</t>
  </si>
  <si>
    <t>Tarsoly Ágnes</t>
  </si>
  <si>
    <t>Dobos Gyuláné</t>
  </si>
  <si>
    <t>Nagy Antal Imréné</t>
  </si>
  <si>
    <t>Németh Lászlóné</t>
  </si>
  <si>
    <t>Hajdu Istvánné</t>
  </si>
  <si>
    <t>Molnár Tiborné</t>
  </si>
  <si>
    <t>Balázs Éva</t>
  </si>
  <si>
    <t>Kövérné Horváth Márta</t>
  </si>
  <si>
    <t>Pálfi Ferencné</t>
  </si>
  <si>
    <t>Mészáros Anikó</t>
  </si>
  <si>
    <t>Szarkáné Tóth Irén</t>
  </si>
  <si>
    <t>Rauserné Fülöp Márta</t>
  </si>
  <si>
    <t>Tóth Ferencné F E</t>
  </si>
  <si>
    <t>Lázár Györgyné</t>
  </si>
  <si>
    <t>Tatár Marianna</t>
  </si>
  <si>
    <t>Hustyik Erzsébet</t>
  </si>
  <si>
    <t>Gál Zsoltné</t>
  </si>
  <si>
    <t>Bedö Erzsébet</t>
  </si>
  <si>
    <t>Balog Zsuzsanna</t>
  </si>
  <si>
    <t>Valánszki Gizella</t>
  </si>
  <si>
    <t>Berczi Ferencné</t>
  </si>
  <si>
    <t>Szebenyiné Macsári Nikoletta</t>
  </si>
  <si>
    <t>Dupcza Mariann</t>
  </si>
  <si>
    <t>Mészár Margit</t>
  </si>
  <si>
    <t>Gulyás Margit</t>
  </si>
  <si>
    <t>Molnárné Hajdu Ildikó</t>
  </si>
  <si>
    <t>Balázs Anett</t>
  </si>
  <si>
    <t>Kürti Szilvia</t>
  </si>
  <si>
    <t>Miczura Irén</t>
  </si>
  <si>
    <t>Somogyi Vivien Alma</t>
  </si>
  <si>
    <t>Szabóné Kocsubé Nóra</t>
  </si>
  <si>
    <t>Szabó Balázsné</t>
  </si>
  <si>
    <t>Kissné Halasi Aranka</t>
  </si>
  <si>
    <t>Sinka Zoltánné</t>
  </si>
  <si>
    <t>Fekete Ildikó Julianna</t>
  </si>
  <si>
    <t>Kovács Sándorné</t>
  </si>
  <si>
    <t>Szélné Turbucz Edit</t>
  </si>
  <si>
    <t>Tóthné Fülöp Ildikó</t>
  </si>
  <si>
    <t>Tasnádi Károly Zsigmondné</t>
  </si>
  <si>
    <t>Nagy Józsefné</t>
  </si>
  <si>
    <t>Jakab Ildikó</t>
  </si>
  <si>
    <t>Nyiri Gyöngyi</t>
  </si>
  <si>
    <t>Balázs Sándorné</t>
  </si>
  <si>
    <t>Marton Lajosné</t>
  </si>
  <si>
    <t>Törőcsikné Vass Tünde</t>
  </si>
  <si>
    <t>Balázs Irén</t>
  </si>
  <si>
    <t>Nagyné Eke Andrea</t>
  </si>
  <si>
    <t>Pappné Nagy Gizella</t>
  </si>
  <si>
    <t>Cserna Zoltánné</t>
  </si>
  <si>
    <t>Tóth Józsefné</t>
  </si>
  <si>
    <t>Benedek Judit</t>
  </si>
  <si>
    <t>Török Annamária</t>
  </si>
  <si>
    <t>Czeglédi Marianna</t>
  </si>
  <si>
    <t>Kovács Katalin</t>
  </si>
  <si>
    <t>Beréné Létai Beáta</t>
  </si>
  <si>
    <t>Köleséri Eszter</t>
  </si>
  <si>
    <t>Dobos Andrea</t>
  </si>
  <si>
    <t>Szabó-Nagy Erzsébet</t>
  </si>
  <si>
    <t>Zsila Edina</t>
  </si>
  <si>
    <t>Kárász Zoltánné</t>
  </si>
  <si>
    <t>Szilágyi Krisztina</t>
  </si>
  <si>
    <t>György Enikő Erzsébet</t>
  </si>
  <si>
    <t>Papp Jánosné</t>
  </si>
  <si>
    <t>Szabóné Vas Enikő</t>
  </si>
  <si>
    <t>Dobi Lajosné</t>
  </si>
  <si>
    <t>Kiss Lajosné</t>
  </si>
  <si>
    <t>Bere Józsefné</t>
  </si>
  <si>
    <t>Vámos Károlyné</t>
  </si>
  <si>
    <t>Fehérné Zsila Edit</t>
  </si>
  <si>
    <t>Bodáné Kőrösi Mónika</t>
  </si>
  <si>
    <t>Kántor Lajosné</t>
  </si>
  <si>
    <t>Sáliné Elek Noémi</t>
  </si>
  <si>
    <t>Barna Andrea</t>
  </si>
  <si>
    <t>Hajduné Balázs Marianna</t>
  </si>
  <si>
    <t>Nádasdi Szilvia</t>
  </si>
  <si>
    <t>Pardi Krisztina</t>
  </si>
  <si>
    <t>Feke Zsoltné</t>
  </si>
  <si>
    <t>Kovácsné Dobos Szilvia</t>
  </si>
  <si>
    <t>Papp-Elek Szilvia</t>
  </si>
  <si>
    <t>Tóth Gáborné</t>
  </si>
  <si>
    <t>Elekné Szalai Edina Ildikó</t>
  </si>
  <si>
    <t>Tóth Noémi</t>
  </si>
  <si>
    <t>Hupczej Henrietta</t>
  </si>
  <si>
    <t>Edömérné Perei Erzsébet Anna</t>
  </si>
  <si>
    <t>Gerencsér Lászlóné</t>
  </si>
  <si>
    <t>Vass Eszter</t>
  </si>
  <si>
    <t>Farkas Tiborné</t>
  </si>
  <si>
    <t>Smiri Sándorné</t>
  </si>
  <si>
    <t>Németh Viktorné</t>
  </si>
  <si>
    <t>Juhász Eszter</t>
  </si>
  <si>
    <t>Koncz Fatime</t>
  </si>
  <si>
    <t>B</t>
  </si>
  <si>
    <t>C</t>
  </si>
  <si>
    <t>A</t>
  </si>
  <si>
    <t>D</t>
  </si>
  <si>
    <t>Name</t>
  </si>
  <si>
    <t>UnitWork</t>
  </si>
  <si>
    <t>TAJCode</t>
  </si>
  <si>
    <t>Category</t>
  </si>
  <si>
    <t>NormaMinutes</t>
  </si>
  <si>
    <t>WorkHours</t>
  </si>
  <si>
    <t>OtherHours</t>
  </si>
  <si>
    <t>OverHours</t>
  </si>
  <si>
    <t>AbsenceHours</t>
  </si>
  <si>
    <t>AbsenceDays</t>
  </si>
  <si>
    <t>AvgEfficiencyFactor</t>
  </si>
  <si>
    <t>MP</t>
  </si>
  <si>
    <t>JP</t>
  </si>
  <si>
    <t>KAP</t>
  </si>
  <si>
    <t>AccrueOverhead</t>
  </si>
  <si>
    <t>difference</t>
  </si>
  <si>
    <t>monthly supplements</t>
  </si>
  <si>
    <t>egyéni teljesítményszázalékok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</si>
</sst>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"/>
  <sheetViews>
    <sheetView tabSelected="1" topLeftCell="A24" zoomScale="150" workbookViewId="0">
      <selection activeCell="G36" sqref="G36"/>
    </sheetView>
  </sheetViews>
  <sheetFormatPr baseColWidth="10" defaultColWidth="8.83203125" defaultRowHeight="15" x14ac:dyDescent="0.2"/>
  <cols>
    <col min="3" max="3" width="9.1640625" bestFit="1" customWidth="1"/>
    <col min="4" max="4" width="27.6640625" bestFit="1" customWidth="1"/>
    <col min="6" max="8" width="9" bestFit="1" customWidth="1"/>
    <col min="9" max="9" width="28.83203125" style="3" bestFit="1" customWidth="1"/>
    <col min="10" max="10" width="18.33203125" style="5" customWidth="1"/>
    <col min="11" max="11" width="25.33203125" style="7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232</v>
      </c>
      <c r="J1" s="5" t="s">
        <v>231</v>
      </c>
      <c r="K1" s="6" t="s">
        <v>230</v>
      </c>
    </row>
    <row r="2" spans="1:11" x14ac:dyDescent="0.2">
      <c r="A2" t="s">
        <v>8</v>
      </c>
      <c r="B2" t="s">
        <v>23</v>
      </c>
      <c r="C2">
        <v>76245084</v>
      </c>
      <c r="D2" t="s">
        <v>24</v>
      </c>
      <c r="E2" t="s">
        <v>211</v>
      </c>
      <c r="F2">
        <v>110.25</v>
      </c>
      <c r="G2">
        <v>0</v>
      </c>
      <c r="H2">
        <v>1.75</v>
      </c>
      <c r="I2" s="3">
        <v>0</v>
      </c>
      <c r="K2" s="7">
        <f>I2-J2</f>
        <v>0</v>
      </c>
    </row>
    <row r="3" spans="1:11" x14ac:dyDescent="0.2">
      <c r="A3" t="s">
        <v>8</v>
      </c>
      <c r="B3" t="s">
        <v>23</v>
      </c>
      <c r="C3">
        <v>76256235</v>
      </c>
      <c r="D3" t="s">
        <v>25</v>
      </c>
      <c r="E3" t="s">
        <v>211</v>
      </c>
      <c r="F3">
        <v>64</v>
      </c>
      <c r="G3">
        <v>0</v>
      </c>
      <c r="H3">
        <v>56</v>
      </c>
      <c r="I3" s="3">
        <v>0</v>
      </c>
      <c r="K3" s="7">
        <f t="shared" ref="K3:K66" si="0">I3-J3</f>
        <v>0</v>
      </c>
    </row>
    <row r="4" spans="1:11" x14ac:dyDescent="0.2">
      <c r="A4" t="s">
        <v>8</v>
      </c>
      <c r="B4" t="s">
        <v>23</v>
      </c>
      <c r="C4">
        <v>87774414</v>
      </c>
      <c r="D4" t="s">
        <v>26</v>
      </c>
      <c r="E4" t="s">
        <v>211</v>
      </c>
      <c r="F4">
        <v>32</v>
      </c>
      <c r="G4">
        <v>0</v>
      </c>
      <c r="H4">
        <v>64</v>
      </c>
      <c r="I4" s="3">
        <v>0</v>
      </c>
      <c r="K4" s="7">
        <f t="shared" si="0"/>
        <v>0</v>
      </c>
    </row>
    <row r="5" spans="1:11" x14ac:dyDescent="0.2">
      <c r="A5" t="s">
        <v>8</v>
      </c>
      <c r="B5" t="s">
        <v>23</v>
      </c>
      <c r="C5">
        <v>90734676</v>
      </c>
      <c r="D5" t="s">
        <v>27</v>
      </c>
      <c r="E5" t="s">
        <v>211</v>
      </c>
      <c r="F5">
        <v>48</v>
      </c>
      <c r="G5">
        <v>0</v>
      </c>
      <c r="H5">
        <v>72</v>
      </c>
      <c r="I5" s="3">
        <v>0</v>
      </c>
      <c r="K5" s="7">
        <f t="shared" si="0"/>
        <v>0</v>
      </c>
    </row>
    <row r="6" spans="1:11" x14ac:dyDescent="0.2">
      <c r="A6" t="s">
        <v>8</v>
      </c>
      <c r="B6" t="s">
        <v>23</v>
      </c>
      <c r="C6">
        <v>107968049</v>
      </c>
      <c r="D6" t="s">
        <v>28</v>
      </c>
      <c r="E6" t="s">
        <v>211</v>
      </c>
      <c r="F6">
        <v>90</v>
      </c>
      <c r="G6">
        <v>0</v>
      </c>
      <c r="H6">
        <v>0</v>
      </c>
      <c r="I6" s="3">
        <v>0</v>
      </c>
      <c r="K6" s="7">
        <f t="shared" si="0"/>
        <v>0</v>
      </c>
    </row>
    <row r="7" spans="1:11" x14ac:dyDescent="0.2">
      <c r="A7" t="s">
        <v>9</v>
      </c>
      <c r="B7" t="s">
        <v>23</v>
      </c>
      <c r="C7">
        <v>76984143</v>
      </c>
      <c r="D7" t="s">
        <v>29</v>
      </c>
      <c r="E7" t="s">
        <v>211</v>
      </c>
      <c r="F7">
        <v>96</v>
      </c>
      <c r="G7">
        <v>0</v>
      </c>
      <c r="H7">
        <v>0</v>
      </c>
      <c r="I7" s="3">
        <v>0</v>
      </c>
      <c r="K7" s="7">
        <f t="shared" si="0"/>
        <v>0</v>
      </c>
    </row>
    <row r="8" spans="1:11" x14ac:dyDescent="0.2">
      <c r="A8" t="s">
        <v>9</v>
      </c>
      <c r="B8" t="s">
        <v>23</v>
      </c>
      <c r="C8">
        <v>80997854</v>
      </c>
      <c r="D8" t="s">
        <v>30</v>
      </c>
      <c r="E8" t="s">
        <v>212</v>
      </c>
      <c r="F8">
        <v>104</v>
      </c>
      <c r="G8">
        <v>0</v>
      </c>
      <c r="H8">
        <v>24</v>
      </c>
      <c r="I8" s="3">
        <v>0</v>
      </c>
      <c r="K8" s="7">
        <f t="shared" si="0"/>
        <v>0</v>
      </c>
    </row>
    <row r="9" spans="1:11" x14ac:dyDescent="0.2">
      <c r="A9" t="s">
        <v>9</v>
      </c>
      <c r="B9" t="s">
        <v>23</v>
      </c>
      <c r="C9">
        <v>92949076</v>
      </c>
      <c r="D9" t="s">
        <v>31</v>
      </c>
      <c r="E9" t="s">
        <v>211</v>
      </c>
      <c r="F9">
        <v>90</v>
      </c>
      <c r="G9">
        <v>0</v>
      </c>
      <c r="H9">
        <v>0</v>
      </c>
      <c r="I9" s="3">
        <v>0</v>
      </c>
      <c r="K9" s="7">
        <f t="shared" si="0"/>
        <v>0</v>
      </c>
    </row>
    <row r="10" spans="1:11" x14ac:dyDescent="0.2">
      <c r="A10" t="s">
        <v>10</v>
      </c>
      <c r="B10" t="s">
        <v>23</v>
      </c>
      <c r="C10">
        <v>76892334</v>
      </c>
      <c r="D10" t="s">
        <v>32</v>
      </c>
      <c r="E10" t="s">
        <v>211</v>
      </c>
      <c r="F10">
        <v>136</v>
      </c>
      <c r="G10">
        <v>0</v>
      </c>
      <c r="H10">
        <v>0</v>
      </c>
      <c r="I10" s="3">
        <v>0</v>
      </c>
      <c r="K10" s="7">
        <f t="shared" si="0"/>
        <v>0</v>
      </c>
    </row>
    <row r="11" spans="1:11" x14ac:dyDescent="0.2">
      <c r="A11" t="s">
        <v>10</v>
      </c>
      <c r="B11" t="s">
        <v>23</v>
      </c>
      <c r="C11">
        <v>77540935</v>
      </c>
      <c r="D11" t="s">
        <v>33</v>
      </c>
      <c r="E11" t="s">
        <v>212</v>
      </c>
      <c r="F11">
        <v>127.5</v>
      </c>
      <c r="G11">
        <v>0</v>
      </c>
      <c r="H11">
        <v>0.5</v>
      </c>
      <c r="I11" s="3">
        <v>0</v>
      </c>
      <c r="K11" s="7">
        <f t="shared" si="0"/>
        <v>0</v>
      </c>
    </row>
    <row r="12" spans="1:11" x14ac:dyDescent="0.2">
      <c r="A12" t="s">
        <v>10</v>
      </c>
      <c r="B12" t="s">
        <v>23</v>
      </c>
      <c r="C12">
        <v>78262559</v>
      </c>
      <c r="D12" t="s">
        <v>34</v>
      </c>
      <c r="E12" t="s">
        <v>212</v>
      </c>
      <c r="F12">
        <v>136</v>
      </c>
      <c r="G12">
        <v>0</v>
      </c>
      <c r="H12">
        <v>0</v>
      </c>
      <c r="I12" s="3">
        <v>0</v>
      </c>
      <c r="K12" s="7">
        <f t="shared" si="0"/>
        <v>0</v>
      </c>
    </row>
    <row r="13" spans="1:11" x14ac:dyDescent="0.2">
      <c r="A13" t="s">
        <v>10</v>
      </c>
      <c r="B13" t="s">
        <v>23</v>
      </c>
      <c r="C13">
        <v>78978780</v>
      </c>
      <c r="D13" t="s">
        <v>35</v>
      </c>
      <c r="E13" t="s">
        <v>212</v>
      </c>
      <c r="F13">
        <v>128</v>
      </c>
      <c r="G13">
        <v>0</v>
      </c>
      <c r="H13">
        <v>0</v>
      </c>
      <c r="I13" s="3">
        <v>0</v>
      </c>
      <c r="K13" s="7">
        <f t="shared" si="0"/>
        <v>0</v>
      </c>
    </row>
    <row r="14" spans="1:11" x14ac:dyDescent="0.2">
      <c r="A14" t="s">
        <v>10</v>
      </c>
      <c r="B14" t="s">
        <v>23</v>
      </c>
      <c r="C14">
        <v>84117715</v>
      </c>
      <c r="D14" t="s">
        <v>36</v>
      </c>
      <c r="E14" t="s">
        <v>211</v>
      </c>
      <c r="F14">
        <v>112</v>
      </c>
      <c r="G14">
        <v>0</v>
      </c>
      <c r="H14">
        <v>0</v>
      </c>
      <c r="I14" s="3">
        <v>0</v>
      </c>
      <c r="K14" s="7">
        <f t="shared" si="0"/>
        <v>0</v>
      </c>
    </row>
    <row r="15" spans="1:11" x14ac:dyDescent="0.2">
      <c r="A15" t="s">
        <v>10</v>
      </c>
      <c r="B15" t="s">
        <v>23</v>
      </c>
      <c r="C15">
        <v>86491147</v>
      </c>
      <c r="D15" t="s">
        <v>37</v>
      </c>
      <c r="E15" t="s">
        <v>212</v>
      </c>
      <c r="F15">
        <v>110.5</v>
      </c>
      <c r="G15">
        <v>0</v>
      </c>
      <c r="H15">
        <v>1.5</v>
      </c>
      <c r="I15" s="3">
        <v>0</v>
      </c>
      <c r="K15" s="7">
        <f t="shared" si="0"/>
        <v>0</v>
      </c>
    </row>
    <row r="16" spans="1:11" x14ac:dyDescent="0.2">
      <c r="A16" t="s">
        <v>11</v>
      </c>
      <c r="B16" t="s">
        <v>23</v>
      </c>
      <c r="C16">
        <v>26333869</v>
      </c>
      <c r="D16" t="s">
        <v>38</v>
      </c>
      <c r="E16" t="s">
        <v>212</v>
      </c>
      <c r="F16">
        <v>128</v>
      </c>
      <c r="G16">
        <v>0</v>
      </c>
      <c r="H16">
        <v>0</v>
      </c>
      <c r="I16" s="3">
        <v>0</v>
      </c>
      <c r="K16" s="7">
        <f t="shared" si="0"/>
        <v>0</v>
      </c>
    </row>
    <row r="17" spans="1:11" x14ac:dyDescent="0.2">
      <c r="A17" t="s">
        <v>11</v>
      </c>
      <c r="B17" t="s">
        <v>23</v>
      </c>
      <c r="C17">
        <v>84018849</v>
      </c>
      <c r="D17" t="s">
        <v>39</v>
      </c>
      <c r="E17" t="s">
        <v>212</v>
      </c>
      <c r="F17">
        <v>136</v>
      </c>
      <c r="G17">
        <v>0</v>
      </c>
      <c r="H17">
        <v>0</v>
      </c>
      <c r="I17" s="3">
        <v>0</v>
      </c>
      <c r="K17" s="7">
        <f t="shared" si="0"/>
        <v>0</v>
      </c>
    </row>
    <row r="18" spans="1:11" x14ac:dyDescent="0.2">
      <c r="A18" t="s">
        <v>12</v>
      </c>
      <c r="B18" t="s">
        <v>23</v>
      </c>
      <c r="C18">
        <v>76312816</v>
      </c>
      <c r="D18" t="s">
        <v>40</v>
      </c>
      <c r="E18" t="s">
        <v>212</v>
      </c>
      <c r="F18">
        <v>120</v>
      </c>
      <c r="G18">
        <v>0</v>
      </c>
      <c r="H18">
        <v>0</v>
      </c>
      <c r="I18" s="3">
        <v>0</v>
      </c>
      <c r="K18" s="7">
        <f t="shared" si="0"/>
        <v>0</v>
      </c>
    </row>
    <row r="19" spans="1:11" x14ac:dyDescent="0.2">
      <c r="A19" t="s">
        <v>12</v>
      </c>
      <c r="B19" t="s">
        <v>23</v>
      </c>
      <c r="C19">
        <v>76927146</v>
      </c>
      <c r="D19" t="s">
        <v>41</v>
      </c>
      <c r="E19" t="s">
        <v>211</v>
      </c>
      <c r="F19">
        <v>80</v>
      </c>
      <c r="G19">
        <v>0</v>
      </c>
      <c r="H19">
        <v>0</v>
      </c>
      <c r="I19" s="3">
        <v>0</v>
      </c>
      <c r="K19" s="7">
        <f t="shared" si="0"/>
        <v>0</v>
      </c>
    </row>
    <row r="20" spans="1:11" x14ac:dyDescent="0.2">
      <c r="A20" t="s">
        <v>12</v>
      </c>
      <c r="B20" t="s">
        <v>23</v>
      </c>
      <c r="C20">
        <v>78681006</v>
      </c>
      <c r="D20" t="s">
        <v>42</v>
      </c>
      <c r="E20" t="s">
        <v>211</v>
      </c>
      <c r="F20">
        <v>96</v>
      </c>
      <c r="G20">
        <v>0</v>
      </c>
      <c r="H20">
        <v>0</v>
      </c>
      <c r="I20" s="3">
        <v>0</v>
      </c>
      <c r="K20" s="7">
        <f t="shared" si="0"/>
        <v>0</v>
      </c>
    </row>
    <row r="21" spans="1:11" x14ac:dyDescent="0.2">
      <c r="A21" t="s">
        <v>12</v>
      </c>
      <c r="B21" t="s">
        <v>23</v>
      </c>
      <c r="C21">
        <v>79318817</v>
      </c>
      <c r="D21" t="s">
        <v>43</v>
      </c>
      <c r="E21" t="s">
        <v>212</v>
      </c>
      <c r="F21">
        <v>112</v>
      </c>
      <c r="G21">
        <v>0</v>
      </c>
      <c r="H21">
        <v>0</v>
      </c>
      <c r="I21" s="3">
        <v>0</v>
      </c>
      <c r="K21" s="7">
        <f t="shared" si="0"/>
        <v>0</v>
      </c>
    </row>
    <row r="22" spans="1:11" x14ac:dyDescent="0.2">
      <c r="A22" t="s">
        <v>12</v>
      </c>
      <c r="B22" t="s">
        <v>23</v>
      </c>
      <c r="C22">
        <v>109965635</v>
      </c>
      <c r="D22" t="s">
        <v>44</v>
      </c>
      <c r="E22" t="s">
        <v>212</v>
      </c>
      <c r="F22">
        <v>94</v>
      </c>
      <c r="G22">
        <v>0</v>
      </c>
      <c r="H22">
        <v>18</v>
      </c>
      <c r="I22" s="3">
        <v>0</v>
      </c>
      <c r="K22" s="7">
        <f t="shared" si="0"/>
        <v>0</v>
      </c>
    </row>
    <row r="23" spans="1:11" x14ac:dyDescent="0.2">
      <c r="A23" t="s">
        <v>13</v>
      </c>
      <c r="B23" t="s">
        <v>23</v>
      </c>
      <c r="C23">
        <v>83324794</v>
      </c>
      <c r="D23" t="s">
        <v>45</v>
      </c>
      <c r="E23" t="s">
        <v>212</v>
      </c>
      <c r="F23">
        <v>96</v>
      </c>
      <c r="G23">
        <v>0</v>
      </c>
      <c r="H23">
        <v>8</v>
      </c>
      <c r="I23" s="3">
        <v>0</v>
      </c>
      <c r="K23" s="7">
        <f t="shared" si="0"/>
        <v>0</v>
      </c>
    </row>
    <row r="24" spans="1:11" x14ac:dyDescent="0.2">
      <c r="A24" t="s">
        <v>14</v>
      </c>
      <c r="B24" t="s">
        <v>23</v>
      </c>
      <c r="C24">
        <v>76387984</v>
      </c>
      <c r="D24" t="s">
        <v>46</v>
      </c>
      <c r="E24" t="s">
        <v>212</v>
      </c>
      <c r="F24">
        <v>128</v>
      </c>
      <c r="G24">
        <v>0</v>
      </c>
      <c r="H24">
        <v>0</v>
      </c>
      <c r="I24" s="3">
        <v>0</v>
      </c>
      <c r="K24" s="7">
        <f t="shared" si="0"/>
        <v>0</v>
      </c>
    </row>
    <row r="25" spans="1:11" x14ac:dyDescent="0.2">
      <c r="A25" t="s">
        <v>14</v>
      </c>
      <c r="B25" t="s">
        <v>23</v>
      </c>
      <c r="C25">
        <v>83785182</v>
      </c>
      <c r="D25" t="s">
        <v>47</v>
      </c>
      <c r="E25" t="s">
        <v>212</v>
      </c>
      <c r="F25">
        <v>128</v>
      </c>
      <c r="G25">
        <v>0</v>
      </c>
      <c r="H25">
        <v>0</v>
      </c>
      <c r="I25" s="3">
        <v>0</v>
      </c>
      <c r="K25" s="7">
        <f t="shared" si="0"/>
        <v>0</v>
      </c>
    </row>
    <row r="26" spans="1:11" x14ac:dyDescent="0.2">
      <c r="A26" t="s">
        <v>14</v>
      </c>
      <c r="B26" t="s">
        <v>23</v>
      </c>
      <c r="C26">
        <v>85042870</v>
      </c>
      <c r="D26" t="s">
        <v>48</v>
      </c>
      <c r="E26" t="s">
        <v>212</v>
      </c>
      <c r="F26">
        <v>110</v>
      </c>
      <c r="G26">
        <v>0</v>
      </c>
      <c r="H26">
        <v>2</v>
      </c>
      <c r="I26" s="3">
        <v>0</v>
      </c>
      <c r="K26" s="7">
        <f t="shared" si="0"/>
        <v>0</v>
      </c>
    </row>
    <row r="27" spans="1:11" x14ac:dyDescent="0.2">
      <c r="A27" t="s">
        <v>14</v>
      </c>
      <c r="B27" t="s">
        <v>23</v>
      </c>
      <c r="C27">
        <v>85850796</v>
      </c>
      <c r="D27" t="s">
        <v>49</v>
      </c>
      <c r="E27" t="s">
        <v>212</v>
      </c>
      <c r="F27">
        <v>112</v>
      </c>
      <c r="G27">
        <v>0</v>
      </c>
      <c r="H27">
        <v>0</v>
      </c>
      <c r="I27" s="3">
        <v>0</v>
      </c>
      <c r="K27" s="7">
        <f t="shared" si="0"/>
        <v>0</v>
      </c>
    </row>
    <row r="28" spans="1:11" x14ac:dyDescent="0.2">
      <c r="A28" t="s">
        <v>14</v>
      </c>
      <c r="B28" t="s">
        <v>23</v>
      </c>
      <c r="C28">
        <v>86007319</v>
      </c>
      <c r="D28" t="s">
        <v>50</v>
      </c>
      <c r="E28" t="s">
        <v>212</v>
      </c>
      <c r="F28">
        <v>136</v>
      </c>
      <c r="G28">
        <v>0</v>
      </c>
      <c r="H28">
        <v>0</v>
      </c>
      <c r="I28" s="3">
        <v>0</v>
      </c>
      <c r="K28" s="7">
        <f t="shared" si="0"/>
        <v>0</v>
      </c>
    </row>
    <row r="29" spans="1:11" x14ac:dyDescent="0.2">
      <c r="A29" t="s">
        <v>14</v>
      </c>
      <c r="B29" t="s">
        <v>23</v>
      </c>
      <c r="C29">
        <v>86329248</v>
      </c>
      <c r="D29" t="s">
        <v>51</v>
      </c>
      <c r="E29" t="s">
        <v>211</v>
      </c>
      <c r="F29">
        <v>120</v>
      </c>
      <c r="G29">
        <v>0</v>
      </c>
      <c r="H29">
        <v>0</v>
      </c>
      <c r="I29" s="3">
        <v>0</v>
      </c>
      <c r="K29" s="7">
        <f t="shared" si="0"/>
        <v>0</v>
      </c>
    </row>
    <row r="30" spans="1:11" x14ac:dyDescent="0.2">
      <c r="A30" t="s">
        <v>14</v>
      </c>
      <c r="B30" t="s">
        <v>23</v>
      </c>
      <c r="C30">
        <v>86990444</v>
      </c>
      <c r="D30" t="s">
        <v>52</v>
      </c>
      <c r="E30" t="s">
        <v>212</v>
      </c>
      <c r="F30">
        <v>136</v>
      </c>
      <c r="G30">
        <v>0</v>
      </c>
      <c r="H30">
        <v>0</v>
      </c>
      <c r="I30" s="3">
        <v>0</v>
      </c>
      <c r="K30" s="7">
        <f t="shared" si="0"/>
        <v>0</v>
      </c>
    </row>
    <row r="31" spans="1:11" x14ac:dyDescent="0.2">
      <c r="A31" t="s">
        <v>14</v>
      </c>
      <c r="B31" t="s">
        <v>23</v>
      </c>
      <c r="C31">
        <v>87059627</v>
      </c>
      <c r="D31" t="s">
        <v>53</v>
      </c>
      <c r="E31" t="s">
        <v>211</v>
      </c>
      <c r="F31">
        <v>128</v>
      </c>
      <c r="G31">
        <v>0</v>
      </c>
      <c r="H31">
        <v>0</v>
      </c>
      <c r="I31" s="3">
        <v>0</v>
      </c>
      <c r="K31" s="7">
        <f t="shared" si="0"/>
        <v>0</v>
      </c>
    </row>
    <row r="32" spans="1:11" x14ac:dyDescent="0.2">
      <c r="A32" t="s">
        <v>14</v>
      </c>
      <c r="B32" t="s">
        <v>23</v>
      </c>
      <c r="C32">
        <v>90748017</v>
      </c>
      <c r="D32" t="s">
        <v>54</v>
      </c>
      <c r="E32" t="s">
        <v>212</v>
      </c>
      <c r="F32">
        <v>136</v>
      </c>
      <c r="G32">
        <v>0</v>
      </c>
      <c r="H32">
        <v>0</v>
      </c>
      <c r="I32" s="3">
        <v>0</v>
      </c>
      <c r="K32" s="7">
        <f t="shared" si="0"/>
        <v>0</v>
      </c>
    </row>
    <row r="33" spans="1:11" x14ac:dyDescent="0.2">
      <c r="A33" t="s">
        <v>15</v>
      </c>
      <c r="B33" t="s">
        <v>23</v>
      </c>
      <c r="C33">
        <v>92421268</v>
      </c>
      <c r="D33" t="s">
        <v>55</v>
      </c>
      <c r="E33" t="s">
        <v>213</v>
      </c>
      <c r="F33">
        <v>128</v>
      </c>
      <c r="G33">
        <v>0</v>
      </c>
      <c r="H33">
        <v>0</v>
      </c>
      <c r="I33" s="3">
        <v>0</v>
      </c>
      <c r="K33" s="7">
        <f t="shared" si="0"/>
        <v>0</v>
      </c>
    </row>
    <row r="34" spans="1:11" x14ac:dyDescent="0.2">
      <c r="A34" t="s">
        <v>16</v>
      </c>
      <c r="B34" t="s">
        <v>23</v>
      </c>
      <c r="C34">
        <v>85488535</v>
      </c>
      <c r="D34" t="s">
        <v>56</v>
      </c>
      <c r="E34" t="s">
        <v>211</v>
      </c>
      <c r="F34">
        <v>120</v>
      </c>
      <c r="G34">
        <v>0</v>
      </c>
      <c r="H34">
        <v>0</v>
      </c>
      <c r="I34" s="3">
        <v>0</v>
      </c>
      <c r="K34" s="7">
        <f t="shared" si="0"/>
        <v>0</v>
      </c>
    </row>
    <row r="35" spans="1:11" x14ac:dyDescent="0.2">
      <c r="A35" t="s">
        <v>16</v>
      </c>
      <c r="B35" t="s">
        <v>23</v>
      </c>
      <c r="C35">
        <v>90878972</v>
      </c>
      <c r="D35" t="s">
        <v>57</v>
      </c>
      <c r="E35" t="s">
        <v>211</v>
      </c>
      <c r="F35">
        <v>120</v>
      </c>
      <c r="G35">
        <v>0</v>
      </c>
      <c r="H35">
        <v>0</v>
      </c>
      <c r="I35" s="3">
        <v>0</v>
      </c>
      <c r="K35" s="7">
        <f t="shared" si="0"/>
        <v>0</v>
      </c>
    </row>
    <row r="36" spans="1:11" x14ac:dyDescent="0.2">
      <c r="A36" t="s">
        <v>17</v>
      </c>
      <c r="B36" t="s">
        <v>23</v>
      </c>
      <c r="C36">
        <v>73454913</v>
      </c>
      <c r="D36" t="s">
        <v>58</v>
      </c>
      <c r="E36" t="s">
        <v>211</v>
      </c>
      <c r="F36">
        <v>104</v>
      </c>
      <c r="G36">
        <v>64688</v>
      </c>
      <c r="H36">
        <v>16</v>
      </c>
      <c r="I36" s="3">
        <v>62.2</v>
      </c>
      <c r="J36" s="5">
        <f>VLOOKUP(C36,'monthly supplements'!C:K,9,0)</f>
        <v>97.43</v>
      </c>
      <c r="K36" s="7">
        <f t="shared" si="0"/>
        <v>-35.230000000000004</v>
      </c>
    </row>
    <row r="37" spans="1:11" x14ac:dyDescent="0.2">
      <c r="A37" t="s">
        <v>17</v>
      </c>
      <c r="B37" t="s">
        <v>23</v>
      </c>
      <c r="C37">
        <v>73707439</v>
      </c>
      <c r="D37" t="s">
        <v>59</v>
      </c>
      <c r="E37" t="s">
        <v>211</v>
      </c>
      <c r="F37">
        <v>115</v>
      </c>
      <c r="G37">
        <v>75174</v>
      </c>
      <c r="H37">
        <v>13</v>
      </c>
      <c r="I37" s="3">
        <v>65.37</v>
      </c>
      <c r="J37" s="5">
        <f>VLOOKUP(C37,'monthly supplements'!C:K,9,0)</f>
        <v>75.239999999999995</v>
      </c>
      <c r="K37" s="7">
        <f t="shared" si="0"/>
        <v>-9.8699999999999903</v>
      </c>
    </row>
    <row r="38" spans="1:11" x14ac:dyDescent="0.2">
      <c r="A38" t="s">
        <v>17</v>
      </c>
      <c r="B38" t="s">
        <v>23</v>
      </c>
      <c r="C38">
        <v>74688759</v>
      </c>
      <c r="D38" t="s">
        <v>60</v>
      </c>
      <c r="E38" t="s">
        <v>211</v>
      </c>
      <c r="F38">
        <v>88</v>
      </c>
      <c r="G38">
        <v>69019</v>
      </c>
      <c r="H38">
        <v>40</v>
      </c>
      <c r="I38" s="3">
        <v>78.430000000000007</v>
      </c>
      <c r="J38" s="5">
        <f>VLOOKUP(C38,'monthly supplements'!C:K,9,0)</f>
        <v>78.430000000000007</v>
      </c>
      <c r="K38" s="7">
        <f t="shared" si="0"/>
        <v>0</v>
      </c>
    </row>
    <row r="39" spans="1:11" x14ac:dyDescent="0.2">
      <c r="A39" t="s">
        <v>17</v>
      </c>
      <c r="B39" t="s">
        <v>23</v>
      </c>
      <c r="C39">
        <v>75836214</v>
      </c>
      <c r="D39" t="s">
        <v>61</v>
      </c>
      <c r="E39" t="s">
        <v>213</v>
      </c>
      <c r="F39">
        <v>73.5</v>
      </c>
      <c r="G39">
        <v>44508</v>
      </c>
      <c r="H39">
        <v>22.5</v>
      </c>
      <c r="I39" s="3">
        <v>60.56</v>
      </c>
      <c r="J39" s="5">
        <f>VLOOKUP(C39,'monthly supplements'!C:K,9,0)</f>
        <v>65.59</v>
      </c>
      <c r="K39" s="7">
        <f t="shared" si="0"/>
        <v>-5.0300000000000011</v>
      </c>
    </row>
    <row r="40" spans="1:11" x14ac:dyDescent="0.2">
      <c r="A40" t="s">
        <v>17</v>
      </c>
      <c r="B40" t="s">
        <v>23</v>
      </c>
      <c r="C40">
        <v>76001341</v>
      </c>
      <c r="D40" t="s">
        <v>62</v>
      </c>
      <c r="E40" t="s">
        <v>213</v>
      </c>
      <c r="F40">
        <v>87</v>
      </c>
      <c r="G40">
        <v>47533</v>
      </c>
      <c r="H40">
        <v>33</v>
      </c>
      <c r="I40" s="3">
        <v>54.64</v>
      </c>
      <c r="J40" s="5">
        <f>VLOOKUP(C40,'monthly supplements'!C:K,9,0)</f>
        <v>72.55</v>
      </c>
      <c r="K40" s="7">
        <f t="shared" si="0"/>
        <v>-17.909999999999997</v>
      </c>
    </row>
    <row r="41" spans="1:11" x14ac:dyDescent="0.2">
      <c r="A41" t="s">
        <v>17</v>
      </c>
      <c r="B41" t="s">
        <v>23</v>
      </c>
      <c r="C41">
        <v>76814530</v>
      </c>
      <c r="D41" t="s">
        <v>63</v>
      </c>
      <c r="E41" t="s">
        <v>213</v>
      </c>
      <c r="F41">
        <v>114.17</v>
      </c>
      <c r="G41">
        <v>60476</v>
      </c>
      <c r="H41">
        <v>5.83</v>
      </c>
      <c r="I41" s="3">
        <v>52.97</v>
      </c>
      <c r="J41" s="5">
        <f>VLOOKUP(C41,'monthly supplements'!C:K,9,0)</f>
        <v>71.87</v>
      </c>
      <c r="K41" s="7">
        <f t="shared" si="0"/>
        <v>-18.900000000000006</v>
      </c>
    </row>
    <row r="42" spans="1:11" x14ac:dyDescent="0.2">
      <c r="A42" t="s">
        <v>17</v>
      </c>
      <c r="B42" t="s">
        <v>23</v>
      </c>
      <c r="C42">
        <v>77094067</v>
      </c>
      <c r="D42" t="s">
        <v>64</v>
      </c>
      <c r="E42" t="s">
        <v>213</v>
      </c>
      <c r="F42">
        <v>104.5</v>
      </c>
      <c r="G42">
        <v>56423</v>
      </c>
      <c r="H42">
        <v>7.5</v>
      </c>
      <c r="I42" s="3">
        <v>53.99</v>
      </c>
      <c r="J42" s="5">
        <f>VLOOKUP(C42,'monthly supplements'!C:K,9,0)</f>
        <v>68.28</v>
      </c>
      <c r="K42" s="7">
        <f t="shared" si="0"/>
        <v>-14.29</v>
      </c>
    </row>
    <row r="43" spans="1:11" x14ac:dyDescent="0.2">
      <c r="A43" t="s">
        <v>17</v>
      </c>
      <c r="B43" t="s">
        <v>23</v>
      </c>
      <c r="C43">
        <v>77626660</v>
      </c>
      <c r="D43" t="s">
        <v>65</v>
      </c>
      <c r="E43" t="s">
        <v>211</v>
      </c>
      <c r="F43">
        <v>42</v>
      </c>
      <c r="G43">
        <v>26684</v>
      </c>
      <c r="H43">
        <v>7</v>
      </c>
      <c r="I43" s="3">
        <v>63.53</v>
      </c>
      <c r="J43" s="5">
        <f>VLOOKUP(C43,'monthly supplements'!C:K,9,0)</f>
        <v>63.53</v>
      </c>
      <c r="K43" s="7">
        <f t="shared" si="0"/>
        <v>0</v>
      </c>
    </row>
    <row r="44" spans="1:11" x14ac:dyDescent="0.2">
      <c r="A44" t="s">
        <v>17</v>
      </c>
      <c r="B44" t="s">
        <v>23</v>
      </c>
      <c r="C44">
        <v>78121546</v>
      </c>
      <c r="D44" t="s">
        <v>66</v>
      </c>
      <c r="E44" t="s">
        <v>212</v>
      </c>
      <c r="F44">
        <v>95.5</v>
      </c>
      <c r="G44">
        <v>82494</v>
      </c>
      <c r="H44">
        <v>8.5</v>
      </c>
      <c r="I44" s="3">
        <v>86.38</v>
      </c>
      <c r="J44" s="5">
        <f>VLOOKUP(C44,'monthly supplements'!C:K,9,0)</f>
        <v>103.3</v>
      </c>
      <c r="K44" s="7">
        <f t="shared" si="0"/>
        <v>-16.920000000000002</v>
      </c>
    </row>
    <row r="45" spans="1:11" x14ac:dyDescent="0.2">
      <c r="A45" t="s">
        <v>17</v>
      </c>
      <c r="B45" t="s">
        <v>23</v>
      </c>
      <c r="C45">
        <v>78240748</v>
      </c>
      <c r="D45" t="s">
        <v>67</v>
      </c>
      <c r="E45" t="s">
        <v>213</v>
      </c>
      <c r="F45">
        <v>104</v>
      </c>
      <c r="G45">
        <v>73192</v>
      </c>
      <c r="H45">
        <v>8</v>
      </c>
      <c r="I45" s="3">
        <v>70.38</v>
      </c>
      <c r="J45" s="5">
        <f>VLOOKUP(C45,'monthly supplements'!C:K,9,0)</f>
        <v>70.38</v>
      </c>
      <c r="K45" s="7">
        <f t="shared" si="0"/>
        <v>0</v>
      </c>
    </row>
    <row r="46" spans="1:11" x14ac:dyDescent="0.2">
      <c r="A46" t="s">
        <v>17</v>
      </c>
      <c r="B46" t="s">
        <v>23</v>
      </c>
      <c r="C46">
        <v>78457139</v>
      </c>
      <c r="D46" t="s">
        <v>68</v>
      </c>
      <c r="E46" t="s">
        <v>213</v>
      </c>
      <c r="F46">
        <v>85</v>
      </c>
      <c r="G46">
        <v>25859</v>
      </c>
      <c r="H46">
        <v>11</v>
      </c>
      <c r="I46" s="3">
        <v>30.42</v>
      </c>
      <c r="J46" s="5">
        <f>VLOOKUP(C46,'monthly supplements'!C:K,9,0)</f>
        <v>79.87</v>
      </c>
      <c r="K46" s="7">
        <f t="shared" si="0"/>
        <v>-49.45</v>
      </c>
    </row>
    <row r="47" spans="1:11" x14ac:dyDescent="0.2">
      <c r="A47" t="s">
        <v>17</v>
      </c>
      <c r="B47" t="s">
        <v>23</v>
      </c>
      <c r="C47">
        <v>78917125</v>
      </c>
      <c r="D47" t="s">
        <v>69</v>
      </c>
      <c r="E47" t="s">
        <v>211</v>
      </c>
      <c r="F47">
        <v>94</v>
      </c>
      <c r="G47">
        <v>83910</v>
      </c>
      <c r="H47">
        <v>18</v>
      </c>
      <c r="I47" s="3">
        <v>89.27</v>
      </c>
      <c r="J47" s="5">
        <f>VLOOKUP(C47,'monthly supplements'!C:K,9,0)</f>
        <v>96.41</v>
      </c>
      <c r="K47" s="7">
        <f t="shared" si="0"/>
        <v>-7.1400000000000006</v>
      </c>
    </row>
    <row r="48" spans="1:11" x14ac:dyDescent="0.2">
      <c r="A48" t="s">
        <v>17</v>
      </c>
      <c r="B48" t="s">
        <v>23</v>
      </c>
      <c r="C48">
        <v>79183819</v>
      </c>
      <c r="D48" t="s">
        <v>70</v>
      </c>
      <c r="E48" t="s">
        <v>211</v>
      </c>
      <c r="F48">
        <v>72</v>
      </c>
      <c r="G48">
        <v>27445</v>
      </c>
      <c r="H48">
        <v>32</v>
      </c>
      <c r="I48" s="3">
        <v>38.119999999999997</v>
      </c>
      <c r="J48" s="5">
        <f>VLOOKUP(C48,'monthly supplements'!C:K,9,0)</f>
        <v>67.900000000000006</v>
      </c>
      <c r="K48" s="7">
        <f t="shared" si="0"/>
        <v>-29.780000000000008</v>
      </c>
    </row>
    <row r="49" spans="1:11" x14ac:dyDescent="0.2">
      <c r="A49" t="s">
        <v>17</v>
      </c>
      <c r="B49" t="s">
        <v>23</v>
      </c>
      <c r="C49">
        <v>79535115</v>
      </c>
      <c r="D49" t="s">
        <v>71</v>
      </c>
      <c r="E49" t="s">
        <v>214</v>
      </c>
      <c r="F49">
        <v>14</v>
      </c>
      <c r="G49">
        <v>0</v>
      </c>
      <c r="H49">
        <v>114</v>
      </c>
      <c r="I49" s="3">
        <v>0</v>
      </c>
      <c r="J49" s="5">
        <f>VLOOKUP(C49,'monthly supplements'!C:K,9,0)</f>
        <v>0</v>
      </c>
      <c r="K49" s="7">
        <f t="shared" si="0"/>
        <v>0</v>
      </c>
    </row>
    <row r="50" spans="1:11" x14ac:dyDescent="0.2">
      <c r="A50" t="s">
        <v>17</v>
      </c>
      <c r="B50" t="s">
        <v>23</v>
      </c>
      <c r="C50">
        <v>79773258</v>
      </c>
      <c r="D50" t="s">
        <v>72</v>
      </c>
      <c r="E50" t="s">
        <v>212</v>
      </c>
      <c r="F50">
        <v>75</v>
      </c>
      <c r="G50">
        <v>73967</v>
      </c>
      <c r="H50">
        <v>29</v>
      </c>
      <c r="I50" s="3">
        <v>98.62</v>
      </c>
      <c r="J50" s="5">
        <f>VLOOKUP(C50,'monthly supplements'!C:K,9,0)</f>
        <v>102.73</v>
      </c>
      <c r="K50" s="7">
        <f t="shared" si="0"/>
        <v>-4.1099999999999994</v>
      </c>
    </row>
    <row r="51" spans="1:11" x14ac:dyDescent="0.2">
      <c r="A51" t="s">
        <v>17</v>
      </c>
      <c r="B51" t="s">
        <v>23</v>
      </c>
      <c r="C51">
        <v>80058272</v>
      </c>
      <c r="D51" t="s">
        <v>73</v>
      </c>
      <c r="E51" t="s">
        <v>213</v>
      </c>
      <c r="F51">
        <v>87</v>
      </c>
      <c r="G51">
        <v>61944</v>
      </c>
      <c r="H51">
        <v>1</v>
      </c>
      <c r="I51" s="3">
        <v>71.2</v>
      </c>
      <c r="J51" s="5">
        <f>VLOOKUP(C51,'monthly supplements'!C:K,9,0)</f>
        <v>80.02</v>
      </c>
      <c r="K51" s="7">
        <f t="shared" si="0"/>
        <v>-8.8199999999999932</v>
      </c>
    </row>
    <row r="52" spans="1:11" x14ac:dyDescent="0.2">
      <c r="A52" t="s">
        <v>17</v>
      </c>
      <c r="B52" t="s">
        <v>23</v>
      </c>
      <c r="C52">
        <v>80073297</v>
      </c>
      <c r="D52" t="s">
        <v>74</v>
      </c>
      <c r="E52" t="s">
        <v>211</v>
      </c>
      <c r="F52">
        <v>86</v>
      </c>
      <c r="G52">
        <v>30110</v>
      </c>
      <c r="H52">
        <v>26</v>
      </c>
      <c r="I52" s="3">
        <v>35.01</v>
      </c>
      <c r="J52" s="5">
        <f>VLOOKUP(C52,'monthly supplements'!C:K,9,0)</f>
        <v>67.42</v>
      </c>
      <c r="K52" s="7">
        <f t="shared" si="0"/>
        <v>-32.410000000000004</v>
      </c>
    </row>
    <row r="53" spans="1:11" x14ac:dyDescent="0.2">
      <c r="A53" t="s">
        <v>17</v>
      </c>
      <c r="B53" t="s">
        <v>23</v>
      </c>
      <c r="C53">
        <v>81834686</v>
      </c>
      <c r="D53" t="s">
        <v>75</v>
      </c>
      <c r="E53" t="s">
        <v>213</v>
      </c>
      <c r="F53">
        <v>60.5</v>
      </c>
      <c r="G53">
        <v>19488</v>
      </c>
      <c r="H53">
        <v>67.5</v>
      </c>
      <c r="I53" s="3">
        <v>32.21</v>
      </c>
      <c r="J53" s="5">
        <f>VLOOKUP(C53,'monthly supplements'!C:K,9,0)</f>
        <v>68.87</v>
      </c>
      <c r="K53" s="7">
        <f t="shared" si="0"/>
        <v>-36.660000000000004</v>
      </c>
    </row>
    <row r="54" spans="1:11" x14ac:dyDescent="0.2">
      <c r="A54" t="s">
        <v>17</v>
      </c>
      <c r="B54" t="s">
        <v>23</v>
      </c>
      <c r="C54">
        <v>81921713</v>
      </c>
      <c r="D54" t="s">
        <v>76</v>
      </c>
      <c r="E54" t="s">
        <v>211</v>
      </c>
      <c r="F54">
        <v>104.75</v>
      </c>
      <c r="G54">
        <v>72851</v>
      </c>
      <c r="H54">
        <v>23.25</v>
      </c>
      <c r="I54" s="3">
        <v>69.55</v>
      </c>
      <c r="J54" s="5">
        <f>VLOOKUP(C54,'monthly supplements'!C:K,9,0)</f>
        <v>79.489999999999995</v>
      </c>
      <c r="K54" s="7">
        <f t="shared" si="0"/>
        <v>-9.9399999999999977</v>
      </c>
    </row>
    <row r="55" spans="1:11" x14ac:dyDescent="0.2">
      <c r="A55" t="s">
        <v>17</v>
      </c>
      <c r="B55" t="s">
        <v>23</v>
      </c>
      <c r="C55">
        <v>81972344</v>
      </c>
      <c r="D55" t="s">
        <v>77</v>
      </c>
      <c r="E55" t="s">
        <v>212</v>
      </c>
      <c r="F55">
        <v>89</v>
      </c>
      <c r="G55">
        <v>58061</v>
      </c>
      <c r="H55">
        <v>31</v>
      </c>
      <c r="I55" s="3">
        <v>65.239999999999995</v>
      </c>
      <c r="J55" s="5">
        <f>VLOOKUP(C55,'monthly supplements'!C:K,9,0)</f>
        <v>75.67</v>
      </c>
      <c r="K55" s="7">
        <f t="shared" si="0"/>
        <v>-10.430000000000007</v>
      </c>
    </row>
    <row r="56" spans="1:11" x14ac:dyDescent="0.2">
      <c r="A56" t="s">
        <v>17</v>
      </c>
      <c r="B56" t="s">
        <v>23</v>
      </c>
      <c r="C56">
        <v>82543426</v>
      </c>
      <c r="D56" t="s">
        <v>78</v>
      </c>
      <c r="E56" t="s">
        <v>212</v>
      </c>
      <c r="F56">
        <v>96.5</v>
      </c>
      <c r="G56">
        <v>84851</v>
      </c>
      <c r="H56">
        <v>23.5</v>
      </c>
      <c r="I56" s="3">
        <v>87.93</v>
      </c>
      <c r="J56" s="5">
        <f>VLOOKUP(C56,'monthly supplements'!C:K,9,0)</f>
        <v>102.62</v>
      </c>
      <c r="K56" s="7">
        <f t="shared" si="0"/>
        <v>-14.689999999999998</v>
      </c>
    </row>
    <row r="57" spans="1:11" x14ac:dyDescent="0.2">
      <c r="A57" t="s">
        <v>17</v>
      </c>
      <c r="B57" t="s">
        <v>23</v>
      </c>
      <c r="C57">
        <v>84117791</v>
      </c>
      <c r="D57" t="s">
        <v>79</v>
      </c>
      <c r="E57" t="s">
        <v>213</v>
      </c>
      <c r="F57">
        <v>44</v>
      </c>
      <c r="G57">
        <v>21855</v>
      </c>
      <c r="H57">
        <v>36</v>
      </c>
      <c r="I57" s="3">
        <v>49.67</v>
      </c>
      <c r="J57" s="5">
        <f>VLOOKUP(C57,'monthly supplements'!C:K,9,0)</f>
        <v>58.94</v>
      </c>
      <c r="K57" s="7">
        <f t="shared" si="0"/>
        <v>-9.269999999999996</v>
      </c>
    </row>
    <row r="58" spans="1:11" x14ac:dyDescent="0.2">
      <c r="A58" t="s">
        <v>17</v>
      </c>
      <c r="B58" t="s">
        <v>23</v>
      </c>
      <c r="C58">
        <v>85545319</v>
      </c>
      <c r="D58" t="s">
        <v>80</v>
      </c>
      <c r="E58" t="s">
        <v>213</v>
      </c>
      <c r="F58">
        <v>25</v>
      </c>
      <c r="G58">
        <v>16446</v>
      </c>
      <c r="H58">
        <v>95</v>
      </c>
      <c r="I58" s="3">
        <v>65.78</v>
      </c>
      <c r="J58" s="5">
        <f>VLOOKUP(C58,'monthly supplements'!C:K,9,0)</f>
        <v>65.78</v>
      </c>
      <c r="K58" s="7">
        <f t="shared" si="0"/>
        <v>0</v>
      </c>
    </row>
    <row r="59" spans="1:11" x14ac:dyDescent="0.2">
      <c r="A59" t="s">
        <v>17</v>
      </c>
      <c r="B59" t="s">
        <v>23</v>
      </c>
      <c r="C59">
        <v>87098206</v>
      </c>
      <c r="D59" t="s">
        <v>81</v>
      </c>
      <c r="E59" t="s">
        <v>211</v>
      </c>
      <c r="F59">
        <v>0</v>
      </c>
      <c r="G59">
        <v>0</v>
      </c>
      <c r="H59">
        <v>0</v>
      </c>
      <c r="I59" s="3">
        <v>0</v>
      </c>
      <c r="J59" s="5">
        <f>VLOOKUP(C59,'monthly supplements'!C:K,9,0)</f>
        <v>0</v>
      </c>
      <c r="K59" s="7">
        <f t="shared" si="0"/>
        <v>0</v>
      </c>
    </row>
    <row r="60" spans="1:11" x14ac:dyDescent="0.2">
      <c r="A60" t="s">
        <v>17</v>
      </c>
      <c r="B60" t="s">
        <v>23</v>
      </c>
      <c r="C60">
        <v>87793774</v>
      </c>
      <c r="D60" t="s">
        <v>82</v>
      </c>
      <c r="E60" t="s">
        <v>213</v>
      </c>
      <c r="F60">
        <v>63</v>
      </c>
      <c r="G60">
        <v>43501</v>
      </c>
      <c r="H60">
        <v>17</v>
      </c>
      <c r="I60" s="3">
        <v>69.05</v>
      </c>
      <c r="J60" s="5">
        <f>VLOOKUP(C60,'monthly supplements'!C:K,9,0)</f>
        <v>69.05</v>
      </c>
      <c r="K60" s="7">
        <f t="shared" si="0"/>
        <v>0</v>
      </c>
    </row>
    <row r="61" spans="1:11" x14ac:dyDescent="0.2">
      <c r="A61" t="s">
        <v>17</v>
      </c>
      <c r="B61" t="s">
        <v>23</v>
      </c>
      <c r="C61">
        <v>89550780</v>
      </c>
      <c r="D61" t="s">
        <v>83</v>
      </c>
      <c r="E61" t="s">
        <v>214</v>
      </c>
      <c r="F61">
        <v>12</v>
      </c>
      <c r="G61">
        <v>0</v>
      </c>
      <c r="H61">
        <v>72</v>
      </c>
      <c r="I61" s="3">
        <v>0</v>
      </c>
      <c r="J61" s="5">
        <f>VLOOKUP(C61,'monthly supplements'!C:K,9,0)</f>
        <v>0</v>
      </c>
      <c r="K61" s="7">
        <f t="shared" si="0"/>
        <v>0</v>
      </c>
    </row>
    <row r="62" spans="1:11" x14ac:dyDescent="0.2">
      <c r="A62" t="s">
        <v>17</v>
      </c>
      <c r="B62" t="s">
        <v>23</v>
      </c>
      <c r="C62">
        <v>89723669</v>
      </c>
      <c r="D62" t="s">
        <v>84</v>
      </c>
      <c r="E62" t="s">
        <v>212</v>
      </c>
      <c r="F62">
        <v>72</v>
      </c>
      <c r="G62">
        <v>37332</v>
      </c>
      <c r="H62">
        <v>16</v>
      </c>
      <c r="I62" s="3">
        <v>51.85</v>
      </c>
      <c r="J62" s="5">
        <f>VLOOKUP(C62,'monthly supplements'!C:K,9,0)</f>
        <v>89.1</v>
      </c>
      <c r="K62" s="7">
        <f t="shared" si="0"/>
        <v>-37.249999999999993</v>
      </c>
    </row>
    <row r="63" spans="1:11" x14ac:dyDescent="0.2">
      <c r="A63" t="s">
        <v>17</v>
      </c>
      <c r="B63" t="s">
        <v>23</v>
      </c>
      <c r="C63">
        <v>91061599</v>
      </c>
      <c r="D63" t="s">
        <v>85</v>
      </c>
      <c r="E63" t="s">
        <v>213</v>
      </c>
      <c r="F63">
        <v>114</v>
      </c>
      <c r="G63">
        <v>81159</v>
      </c>
      <c r="H63">
        <v>14</v>
      </c>
      <c r="I63" s="3">
        <v>71.19</v>
      </c>
      <c r="J63" s="5">
        <f>VLOOKUP(C63,'monthly supplements'!C:K,9,0)</f>
        <v>92.62</v>
      </c>
      <c r="K63" s="7">
        <f t="shared" si="0"/>
        <v>-21.430000000000007</v>
      </c>
    </row>
    <row r="64" spans="1:11" x14ac:dyDescent="0.2">
      <c r="A64" t="s">
        <v>17</v>
      </c>
      <c r="B64" t="s">
        <v>23</v>
      </c>
      <c r="C64">
        <v>91133474</v>
      </c>
      <c r="D64" t="s">
        <v>86</v>
      </c>
      <c r="E64" t="s">
        <v>212</v>
      </c>
      <c r="F64">
        <v>59</v>
      </c>
      <c r="G64">
        <v>27479</v>
      </c>
      <c r="H64">
        <v>29</v>
      </c>
      <c r="I64" s="3">
        <v>46.57</v>
      </c>
      <c r="J64" s="5">
        <f>VLOOKUP(C64,'monthly supplements'!C:K,9,0)</f>
        <v>57.96</v>
      </c>
      <c r="K64" s="7">
        <f t="shared" si="0"/>
        <v>-11.39</v>
      </c>
    </row>
    <row r="65" spans="1:11" x14ac:dyDescent="0.2">
      <c r="A65" t="s">
        <v>17</v>
      </c>
      <c r="B65" t="s">
        <v>23</v>
      </c>
      <c r="C65">
        <v>114795728</v>
      </c>
      <c r="D65" t="s">
        <v>87</v>
      </c>
      <c r="E65" t="s">
        <v>213</v>
      </c>
      <c r="F65">
        <v>118</v>
      </c>
      <c r="G65">
        <v>121459</v>
      </c>
      <c r="H65">
        <v>2</v>
      </c>
      <c r="I65" s="3">
        <v>102.93</v>
      </c>
      <c r="J65" s="5">
        <f>VLOOKUP(C65,'monthly supplements'!C:K,9,0)</f>
        <v>119</v>
      </c>
      <c r="K65" s="7">
        <f t="shared" si="0"/>
        <v>-16.069999999999993</v>
      </c>
    </row>
    <row r="66" spans="1:11" x14ac:dyDescent="0.2">
      <c r="A66" t="s">
        <v>17</v>
      </c>
      <c r="B66" t="s">
        <v>23</v>
      </c>
      <c r="C66">
        <v>121657776</v>
      </c>
      <c r="D66" t="s">
        <v>88</v>
      </c>
      <c r="E66" t="s">
        <v>211</v>
      </c>
      <c r="F66">
        <v>92</v>
      </c>
      <c r="G66">
        <v>74075</v>
      </c>
      <c r="H66">
        <v>28</v>
      </c>
      <c r="I66" s="3">
        <v>80.52</v>
      </c>
      <c r="J66" s="5">
        <f>VLOOKUP(C66,'monthly supplements'!C:K,9,0)</f>
        <v>80.52</v>
      </c>
      <c r="K66" s="7">
        <f t="shared" si="0"/>
        <v>0</v>
      </c>
    </row>
    <row r="67" spans="1:11" x14ac:dyDescent="0.2">
      <c r="A67" t="s">
        <v>17</v>
      </c>
      <c r="B67" t="s">
        <v>23</v>
      </c>
      <c r="C67">
        <v>127644402</v>
      </c>
      <c r="D67" t="s">
        <v>89</v>
      </c>
      <c r="E67" t="s">
        <v>213</v>
      </c>
      <c r="F67">
        <v>94.83</v>
      </c>
      <c r="G67">
        <v>32652</v>
      </c>
      <c r="H67">
        <v>25.17</v>
      </c>
      <c r="I67" s="3">
        <v>34.43</v>
      </c>
      <c r="J67" s="5">
        <f>VLOOKUP(C67,'monthly supplements'!C:K,9,0)</f>
        <v>68.09</v>
      </c>
      <c r="K67" s="7">
        <f t="shared" ref="K67:K130" si="1">I67-J67</f>
        <v>-33.660000000000004</v>
      </c>
    </row>
    <row r="68" spans="1:11" x14ac:dyDescent="0.2">
      <c r="A68" t="s">
        <v>18</v>
      </c>
      <c r="B68" t="s">
        <v>23</v>
      </c>
      <c r="C68">
        <v>67798634</v>
      </c>
      <c r="D68" t="s">
        <v>90</v>
      </c>
      <c r="E68" t="s">
        <v>213</v>
      </c>
      <c r="F68">
        <v>95</v>
      </c>
      <c r="G68">
        <v>59454</v>
      </c>
      <c r="H68">
        <v>9</v>
      </c>
      <c r="I68" s="3">
        <v>62.58</v>
      </c>
      <c r="J68" s="5">
        <f>VLOOKUP(C68,'monthly supplements'!C:K,9,0)</f>
        <v>62.58</v>
      </c>
      <c r="K68" s="7">
        <f t="shared" si="1"/>
        <v>0</v>
      </c>
    </row>
    <row r="69" spans="1:11" x14ac:dyDescent="0.2">
      <c r="A69" t="s">
        <v>18</v>
      </c>
      <c r="B69" t="s">
        <v>23</v>
      </c>
      <c r="C69">
        <v>72763120</v>
      </c>
      <c r="D69" t="s">
        <v>91</v>
      </c>
      <c r="E69" t="s">
        <v>211</v>
      </c>
      <c r="F69">
        <v>115</v>
      </c>
      <c r="G69">
        <v>115864</v>
      </c>
      <c r="H69">
        <v>5</v>
      </c>
      <c r="I69" s="3">
        <v>100.75</v>
      </c>
      <c r="J69" s="5">
        <f>VLOOKUP(C69,'monthly supplements'!C:K,9,0)</f>
        <v>100.75</v>
      </c>
      <c r="K69" s="7">
        <f t="shared" si="1"/>
        <v>0</v>
      </c>
    </row>
    <row r="70" spans="1:11" x14ac:dyDescent="0.2">
      <c r="A70" t="s">
        <v>18</v>
      </c>
      <c r="B70" t="s">
        <v>23</v>
      </c>
      <c r="C70">
        <v>74772490</v>
      </c>
      <c r="D70" t="s">
        <v>92</v>
      </c>
      <c r="E70" t="s">
        <v>211</v>
      </c>
      <c r="F70">
        <v>94.75</v>
      </c>
      <c r="G70">
        <v>81318</v>
      </c>
      <c r="H70">
        <v>9.25</v>
      </c>
      <c r="I70" s="3">
        <v>85.82</v>
      </c>
      <c r="J70" s="5">
        <f>VLOOKUP(C70,'monthly supplements'!C:K,9,0)</f>
        <v>85.82</v>
      </c>
      <c r="K70" s="7">
        <f t="shared" si="1"/>
        <v>0</v>
      </c>
    </row>
    <row r="71" spans="1:11" x14ac:dyDescent="0.2">
      <c r="A71" t="s">
        <v>18</v>
      </c>
      <c r="B71" t="s">
        <v>23</v>
      </c>
      <c r="C71">
        <v>75567336</v>
      </c>
      <c r="D71" t="s">
        <v>93</v>
      </c>
      <c r="E71" t="s">
        <v>211</v>
      </c>
      <c r="F71">
        <v>87</v>
      </c>
      <c r="G71">
        <v>63276</v>
      </c>
      <c r="H71">
        <v>9</v>
      </c>
      <c r="I71" s="3">
        <v>72.73</v>
      </c>
      <c r="J71" s="5">
        <f>VLOOKUP(C71,'monthly supplements'!C:K,9,0)</f>
        <v>91.26</v>
      </c>
      <c r="K71" s="7">
        <f t="shared" si="1"/>
        <v>-18.53</v>
      </c>
    </row>
    <row r="72" spans="1:11" x14ac:dyDescent="0.2">
      <c r="A72" t="s">
        <v>18</v>
      </c>
      <c r="B72" t="s">
        <v>23</v>
      </c>
      <c r="C72">
        <v>76079812</v>
      </c>
      <c r="D72" t="s">
        <v>94</v>
      </c>
      <c r="E72" t="s">
        <v>211</v>
      </c>
      <c r="F72">
        <v>91.5</v>
      </c>
      <c r="G72">
        <v>73773</v>
      </c>
      <c r="H72">
        <v>20.5</v>
      </c>
      <c r="I72" s="3">
        <v>80.63</v>
      </c>
      <c r="J72" s="5">
        <f>VLOOKUP(C72,'monthly supplements'!C:K,9,0)</f>
        <v>80.63</v>
      </c>
      <c r="K72" s="7">
        <f t="shared" si="1"/>
        <v>0</v>
      </c>
    </row>
    <row r="73" spans="1:11" x14ac:dyDescent="0.2">
      <c r="A73" t="s">
        <v>18</v>
      </c>
      <c r="B73" t="s">
        <v>23</v>
      </c>
      <c r="C73">
        <v>76271951</v>
      </c>
      <c r="D73" t="s">
        <v>95</v>
      </c>
      <c r="E73" t="s">
        <v>211</v>
      </c>
      <c r="F73">
        <v>95</v>
      </c>
      <c r="G73">
        <v>44494</v>
      </c>
      <c r="H73">
        <v>17</v>
      </c>
      <c r="I73" s="3">
        <v>46.84</v>
      </c>
      <c r="J73" s="5">
        <f>VLOOKUP(C73,'monthly supplements'!C:K,9,0)</f>
        <v>67.790000000000006</v>
      </c>
      <c r="K73" s="7">
        <f t="shared" si="1"/>
        <v>-20.950000000000003</v>
      </c>
    </row>
    <row r="74" spans="1:11" x14ac:dyDescent="0.2">
      <c r="A74" t="s">
        <v>18</v>
      </c>
      <c r="B74" t="s">
        <v>23</v>
      </c>
      <c r="C74">
        <v>76519259</v>
      </c>
      <c r="D74" t="s">
        <v>96</v>
      </c>
      <c r="E74" t="s">
        <v>211</v>
      </c>
      <c r="F74">
        <v>91.25</v>
      </c>
      <c r="G74">
        <v>64189</v>
      </c>
      <c r="H74">
        <v>20.75</v>
      </c>
      <c r="I74" s="3">
        <v>70.34</v>
      </c>
      <c r="J74" s="5">
        <f>VLOOKUP(C74,'monthly supplements'!C:K,9,0)</f>
        <v>70.34</v>
      </c>
      <c r="K74" s="7">
        <f t="shared" si="1"/>
        <v>0</v>
      </c>
    </row>
    <row r="75" spans="1:11" x14ac:dyDescent="0.2">
      <c r="A75" t="s">
        <v>18</v>
      </c>
      <c r="B75" t="s">
        <v>23</v>
      </c>
      <c r="C75">
        <v>77493312</v>
      </c>
      <c r="D75" t="s">
        <v>97</v>
      </c>
      <c r="E75" t="s">
        <v>211</v>
      </c>
      <c r="F75">
        <v>0</v>
      </c>
      <c r="G75">
        <v>0</v>
      </c>
      <c r="H75">
        <v>0</v>
      </c>
      <c r="I75" s="3">
        <v>0</v>
      </c>
      <c r="J75" s="5">
        <f>VLOOKUP(C75,'monthly supplements'!C:K,9,0)</f>
        <v>0</v>
      </c>
      <c r="K75" s="7">
        <f t="shared" si="1"/>
        <v>0</v>
      </c>
    </row>
    <row r="76" spans="1:11" x14ac:dyDescent="0.2">
      <c r="A76" t="s">
        <v>18</v>
      </c>
      <c r="B76" t="s">
        <v>23</v>
      </c>
      <c r="C76">
        <v>77527725</v>
      </c>
      <c r="D76" t="s">
        <v>98</v>
      </c>
      <c r="E76" t="s">
        <v>211</v>
      </c>
      <c r="F76">
        <v>22</v>
      </c>
      <c r="G76">
        <v>20663</v>
      </c>
      <c r="H76">
        <v>2</v>
      </c>
      <c r="I76" s="3">
        <v>93.92</v>
      </c>
      <c r="J76" s="5">
        <f>VLOOKUP(C76,'monthly supplements'!C:K,9,0)</f>
        <v>93.92</v>
      </c>
      <c r="K76" s="7">
        <f t="shared" si="1"/>
        <v>0</v>
      </c>
    </row>
    <row r="77" spans="1:11" x14ac:dyDescent="0.2">
      <c r="A77" t="s">
        <v>18</v>
      </c>
      <c r="B77" t="s">
        <v>23</v>
      </c>
      <c r="C77">
        <v>77819679</v>
      </c>
      <c r="D77" t="s">
        <v>99</v>
      </c>
      <c r="E77" t="s">
        <v>211</v>
      </c>
      <c r="F77">
        <v>87.25</v>
      </c>
      <c r="G77">
        <v>43358</v>
      </c>
      <c r="H77">
        <v>24.75</v>
      </c>
      <c r="I77" s="3">
        <v>49.69</v>
      </c>
      <c r="J77" s="5">
        <f>VLOOKUP(C77,'monthly supplements'!C:K,9,0)</f>
        <v>53.91</v>
      </c>
      <c r="K77" s="7">
        <f t="shared" si="1"/>
        <v>-4.2199999999999989</v>
      </c>
    </row>
    <row r="78" spans="1:11" x14ac:dyDescent="0.2">
      <c r="A78" t="s">
        <v>18</v>
      </c>
      <c r="B78" t="s">
        <v>23</v>
      </c>
      <c r="C78">
        <v>77915104</v>
      </c>
      <c r="D78" t="s">
        <v>100</v>
      </c>
      <c r="E78" t="s">
        <v>211</v>
      </c>
      <c r="F78">
        <v>100</v>
      </c>
      <c r="G78">
        <v>51099</v>
      </c>
      <c r="H78">
        <v>4</v>
      </c>
      <c r="I78" s="3">
        <v>51.1</v>
      </c>
      <c r="J78" s="5">
        <f>VLOOKUP(C78,'monthly supplements'!C:K,9,0)</f>
        <v>55.44</v>
      </c>
      <c r="K78" s="7">
        <f t="shared" si="1"/>
        <v>-4.3399999999999963</v>
      </c>
    </row>
    <row r="79" spans="1:11" x14ac:dyDescent="0.2">
      <c r="A79" t="s">
        <v>18</v>
      </c>
      <c r="B79" t="s">
        <v>23</v>
      </c>
      <c r="C79">
        <v>78825866</v>
      </c>
      <c r="D79" t="s">
        <v>101</v>
      </c>
      <c r="E79" t="s">
        <v>211</v>
      </c>
      <c r="F79">
        <v>53.75</v>
      </c>
      <c r="G79">
        <v>35623</v>
      </c>
      <c r="H79">
        <v>10.25</v>
      </c>
      <c r="I79" s="3">
        <v>66.28</v>
      </c>
      <c r="J79" s="5">
        <f>VLOOKUP(C79,'monthly supplements'!C:K,9,0)</f>
        <v>66.28</v>
      </c>
      <c r="K79" s="7">
        <f t="shared" si="1"/>
        <v>0</v>
      </c>
    </row>
    <row r="80" spans="1:11" x14ac:dyDescent="0.2">
      <c r="A80" t="s">
        <v>18</v>
      </c>
      <c r="B80" t="s">
        <v>23</v>
      </c>
      <c r="C80">
        <v>79720056</v>
      </c>
      <c r="D80" t="s">
        <v>102</v>
      </c>
      <c r="E80" t="s">
        <v>213</v>
      </c>
      <c r="F80">
        <v>95.5</v>
      </c>
      <c r="G80">
        <v>39734</v>
      </c>
      <c r="H80">
        <v>16.5</v>
      </c>
      <c r="I80" s="3">
        <v>41.61</v>
      </c>
      <c r="J80" s="5">
        <f>VLOOKUP(C80,'monthly supplements'!C:K,9,0)</f>
        <v>51.18</v>
      </c>
      <c r="K80" s="7">
        <f t="shared" si="1"/>
        <v>-9.57</v>
      </c>
    </row>
    <row r="81" spans="1:11" x14ac:dyDescent="0.2">
      <c r="A81" t="s">
        <v>18</v>
      </c>
      <c r="B81" t="s">
        <v>23</v>
      </c>
      <c r="C81">
        <v>79856322</v>
      </c>
      <c r="D81" t="s">
        <v>103</v>
      </c>
      <c r="E81" t="s">
        <v>211</v>
      </c>
      <c r="F81">
        <v>111</v>
      </c>
      <c r="G81">
        <v>63267</v>
      </c>
      <c r="H81">
        <v>1</v>
      </c>
      <c r="I81" s="3">
        <v>57</v>
      </c>
      <c r="J81" s="5">
        <f>VLOOKUP(C81,'monthly supplements'!C:K,9,0)</f>
        <v>60.79</v>
      </c>
      <c r="K81" s="7">
        <f t="shared" si="1"/>
        <v>-3.7899999999999991</v>
      </c>
    </row>
    <row r="82" spans="1:11" x14ac:dyDescent="0.2">
      <c r="A82" t="s">
        <v>18</v>
      </c>
      <c r="B82" t="s">
        <v>23</v>
      </c>
      <c r="C82">
        <v>79941149</v>
      </c>
      <c r="D82" t="s">
        <v>104</v>
      </c>
      <c r="E82" t="s">
        <v>211</v>
      </c>
      <c r="F82">
        <v>83.5</v>
      </c>
      <c r="G82">
        <v>65769</v>
      </c>
      <c r="H82">
        <v>12.5</v>
      </c>
      <c r="I82" s="3">
        <v>78.77</v>
      </c>
      <c r="J82" s="5">
        <f>VLOOKUP(C82,'monthly supplements'!C:K,9,0)</f>
        <v>81.680000000000007</v>
      </c>
      <c r="K82" s="7">
        <f t="shared" si="1"/>
        <v>-2.9100000000000108</v>
      </c>
    </row>
    <row r="83" spans="1:11" x14ac:dyDescent="0.2">
      <c r="A83" t="s">
        <v>18</v>
      </c>
      <c r="B83" t="s">
        <v>23</v>
      </c>
      <c r="C83">
        <v>80053765</v>
      </c>
      <c r="D83" t="s">
        <v>105</v>
      </c>
      <c r="E83" t="s">
        <v>213</v>
      </c>
      <c r="F83">
        <v>115</v>
      </c>
      <c r="G83">
        <v>62581</v>
      </c>
      <c r="H83">
        <v>5</v>
      </c>
      <c r="I83" s="3">
        <v>54.42</v>
      </c>
      <c r="J83" s="5">
        <f>VLOOKUP(C83,'monthly supplements'!C:K,9,0)</f>
        <v>58.82</v>
      </c>
      <c r="K83" s="7">
        <f t="shared" si="1"/>
        <v>-4.3999999999999986</v>
      </c>
    </row>
    <row r="84" spans="1:11" x14ac:dyDescent="0.2">
      <c r="A84" t="s">
        <v>18</v>
      </c>
      <c r="B84" t="s">
        <v>23</v>
      </c>
      <c r="C84">
        <v>80435541</v>
      </c>
      <c r="D84" t="s">
        <v>106</v>
      </c>
      <c r="E84" t="s">
        <v>211</v>
      </c>
      <c r="F84">
        <v>87.5</v>
      </c>
      <c r="G84">
        <v>77229</v>
      </c>
      <c r="H84">
        <v>16.5</v>
      </c>
      <c r="I84" s="3">
        <v>88.26</v>
      </c>
      <c r="J84" s="5">
        <f>VLOOKUP(C84,'monthly supplements'!C:K,9,0)</f>
        <v>92.49</v>
      </c>
      <c r="K84" s="7">
        <f t="shared" si="1"/>
        <v>-4.2299999999999898</v>
      </c>
    </row>
    <row r="85" spans="1:11" x14ac:dyDescent="0.2">
      <c r="A85" t="s">
        <v>18</v>
      </c>
      <c r="B85" t="s">
        <v>23</v>
      </c>
      <c r="C85">
        <v>80823425</v>
      </c>
      <c r="D85" t="s">
        <v>107</v>
      </c>
      <c r="E85" t="s">
        <v>211</v>
      </c>
      <c r="F85">
        <v>76</v>
      </c>
      <c r="G85">
        <v>33251</v>
      </c>
      <c r="H85">
        <v>44</v>
      </c>
      <c r="I85" s="3">
        <v>43.75</v>
      </c>
      <c r="J85" s="5">
        <f>VLOOKUP(C85,'monthly supplements'!C:K,9,0)</f>
        <v>46.9</v>
      </c>
      <c r="K85" s="7">
        <f t="shared" si="1"/>
        <v>-3.1499999999999986</v>
      </c>
    </row>
    <row r="86" spans="1:11" x14ac:dyDescent="0.2">
      <c r="A86" t="s">
        <v>18</v>
      </c>
      <c r="B86" t="s">
        <v>23</v>
      </c>
      <c r="C86">
        <v>80896582</v>
      </c>
      <c r="D86" t="s">
        <v>108</v>
      </c>
      <c r="E86" t="s">
        <v>211</v>
      </c>
      <c r="F86">
        <v>98</v>
      </c>
      <c r="G86">
        <v>54064</v>
      </c>
      <c r="H86">
        <v>6</v>
      </c>
      <c r="I86" s="3">
        <v>55.17</v>
      </c>
      <c r="J86" s="5">
        <f>VLOOKUP(C86,'monthly supplements'!C:K,9,0)</f>
        <v>59.86</v>
      </c>
      <c r="K86" s="7">
        <f t="shared" si="1"/>
        <v>-4.6899999999999977</v>
      </c>
    </row>
    <row r="87" spans="1:11" x14ac:dyDescent="0.2">
      <c r="A87" t="s">
        <v>18</v>
      </c>
      <c r="B87" t="s">
        <v>23</v>
      </c>
      <c r="C87">
        <v>81174256</v>
      </c>
      <c r="D87" t="s">
        <v>109</v>
      </c>
      <c r="E87" t="s">
        <v>211</v>
      </c>
      <c r="F87">
        <v>97.5</v>
      </c>
      <c r="G87">
        <v>78245</v>
      </c>
      <c r="H87">
        <v>14.5</v>
      </c>
      <c r="I87" s="3">
        <v>80.25</v>
      </c>
      <c r="J87" s="5">
        <f>VLOOKUP(C87,'monthly supplements'!C:K,9,0)</f>
        <v>80.25</v>
      </c>
      <c r="K87" s="7">
        <f t="shared" si="1"/>
        <v>0</v>
      </c>
    </row>
    <row r="88" spans="1:11" x14ac:dyDescent="0.2">
      <c r="A88" t="s">
        <v>18</v>
      </c>
      <c r="B88" t="s">
        <v>23</v>
      </c>
      <c r="C88">
        <v>81460885</v>
      </c>
      <c r="D88" t="s">
        <v>110</v>
      </c>
      <c r="E88" t="s">
        <v>211</v>
      </c>
      <c r="F88">
        <v>106</v>
      </c>
      <c r="G88">
        <v>90063</v>
      </c>
      <c r="H88">
        <v>22</v>
      </c>
      <c r="I88" s="3">
        <v>84.97</v>
      </c>
      <c r="J88" s="5">
        <f>VLOOKUP(C88,'monthly supplements'!C:K,9,0)</f>
        <v>87.44</v>
      </c>
      <c r="K88" s="7">
        <f t="shared" si="1"/>
        <v>-2.4699999999999989</v>
      </c>
    </row>
    <row r="89" spans="1:11" x14ac:dyDescent="0.2">
      <c r="A89" t="s">
        <v>18</v>
      </c>
      <c r="B89" t="s">
        <v>23</v>
      </c>
      <c r="C89">
        <v>83616514</v>
      </c>
      <c r="D89" t="s">
        <v>111</v>
      </c>
      <c r="E89" t="s">
        <v>212</v>
      </c>
      <c r="F89">
        <v>49</v>
      </c>
      <c r="G89">
        <v>49686</v>
      </c>
      <c r="H89">
        <v>47</v>
      </c>
      <c r="I89" s="3">
        <v>101.4</v>
      </c>
      <c r="J89" s="5">
        <f>VLOOKUP(C89,'monthly supplements'!C:K,9,0)</f>
        <v>101.4</v>
      </c>
      <c r="K89" s="7">
        <f t="shared" si="1"/>
        <v>0</v>
      </c>
    </row>
    <row r="90" spans="1:11" x14ac:dyDescent="0.2">
      <c r="A90" t="s">
        <v>18</v>
      </c>
      <c r="B90" t="s">
        <v>23</v>
      </c>
      <c r="C90">
        <v>84656980</v>
      </c>
      <c r="D90" t="s">
        <v>112</v>
      </c>
      <c r="E90" t="s">
        <v>211</v>
      </c>
      <c r="F90">
        <v>80.5</v>
      </c>
      <c r="G90">
        <v>52476</v>
      </c>
      <c r="H90">
        <v>34.5</v>
      </c>
      <c r="I90" s="3">
        <v>65.19</v>
      </c>
      <c r="J90" s="5">
        <f>VLOOKUP(C90,'monthly supplements'!C:K,9,0)</f>
        <v>65.19</v>
      </c>
      <c r="K90" s="7">
        <f t="shared" si="1"/>
        <v>0</v>
      </c>
    </row>
    <row r="91" spans="1:11" x14ac:dyDescent="0.2">
      <c r="A91" t="s">
        <v>18</v>
      </c>
      <c r="B91" t="s">
        <v>23</v>
      </c>
      <c r="C91">
        <v>84812166</v>
      </c>
      <c r="D91" t="s">
        <v>113</v>
      </c>
      <c r="E91" t="s">
        <v>211</v>
      </c>
      <c r="F91">
        <v>29.75</v>
      </c>
      <c r="G91">
        <v>17511</v>
      </c>
      <c r="H91">
        <v>2.25</v>
      </c>
      <c r="I91" s="3">
        <v>58.86</v>
      </c>
      <c r="J91" s="5">
        <f>VLOOKUP(C91,'monthly supplements'!C:K,9,0)</f>
        <v>58.86</v>
      </c>
      <c r="K91" s="7">
        <f t="shared" si="1"/>
        <v>0</v>
      </c>
    </row>
    <row r="92" spans="1:11" x14ac:dyDescent="0.2">
      <c r="A92" t="s">
        <v>18</v>
      </c>
      <c r="B92" t="s">
        <v>23</v>
      </c>
      <c r="C92">
        <v>85650156</v>
      </c>
      <c r="D92" t="s">
        <v>114</v>
      </c>
      <c r="E92" t="s">
        <v>211</v>
      </c>
      <c r="F92">
        <v>111.5</v>
      </c>
      <c r="G92">
        <v>87072</v>
      </c>
      <c r="H92">
        <v>8.5</v>
      </c>
      <c r="I92" s="3">
        <v>78.09</v>
      </c>
      <c r="J92" s="5">
        <f>VLOOKUP(C92,'monthly supplements'!C:K,9,0)</f>
        <v>84.58</v>
      </c>
      <c r="K92" s="7">
        <f t="shared" si="1"/>
        <v>-6.4899999999999949</v>
      </c>
    </row>
    <row r="93" spans="1:11" x14ac:dyDescent="0.2">
      <c r="A93" t="s">
        <v>18</v>
      </c>
      <c r="B93" t="s">
        <v>23</v>
      </c>
      <c r="C93">
        <v>85970830</v>
      </c>
      <c r="D93" t="s">
        <v>115</v>
      </c>
      <c r="E93" t="s">
        <v>212</v>
      </c>
      <c r="F93">
        <v>78.75</v>
      </c>
      <c r="G93">
        <v>55398</v>
      </c>
      <c r="H93">
        <v>25.25</v>
      </c>
      <c r="I93" s="3">
        <v>70.349999999999994</v>
      </c>
      <c r="J93" s="5">
        <f>VLOOKUP(C93,'monthly supplements'!C:K,9,0)</f>
        <v>70.349999999999994</v>
      </c>
      <c r="K93" s="7">
        <f t="shared" si="1"/>
        <v>0</v>
      </c>
    </row>
    <row r="94" spans="1:11" x14ac:dyDescent="0.2">
      <c r="A94" t="s">
        <v>18</v>
      </c>
      <c r="B94" t="s">
        <v>23</v>
      </c>
      <c r="C94">
        <v>89727753</v>
      </c>
      <c r="D94" t="s">
        <v>116</v>
      </c>
      <c r="E94" t="s">
        <v>212</v>
      </c>
      <c r="F94">
        <v>80</v>
      </c>
      <c r="G94">
        <v>52335</v>
      </c>
      <c r="H94">
        <v>24</v>
      </c>
      <c r="I94" s="3">
        <v>65.42</v>
      </c>
      <c r="J94" s="5">
        <f>VLOOKUP(C94,'monthly supplements'!C:K,9,0)</f>
        <v>65.42</v>
      </c>
      <c r="K94" s="7">
        <f t="shared" si="1"/>
        <v>0</v>
      </c>
    </row>
    <row r="95" spans="1:11" x14ac:dyDescent="0.2">
      <c r="A95" t="s">
        <v>18</v>
      </c>
      <c r="B95" t="s">
        <v>23</v>
      </c>
      <c r="C95">
        <v>91206181</v>
      </c>
      <c r="D95" t="s">
        <v>117</v>
      </c>
      <c r="E95" t="s">
        <v>213</v>
      </c>
      <c r="F95">
        <v>107</v>
      </c>
      <c r="G95">
        <v>54547</v>
      </c>
      <c r="H95">
        <v>13</v>
      </c>
      <c r="I95" s="3">
        <v>50.98</v>
      </c>
      <c r="J95" s="5">
        <f>VLOOKUP(C95,'monthly supplements'!C:K,9,0)</f>
        <v>50.98</v>
      </c>
      <c r="K95" s="7">
        <f t="shared" si="1"/>
        <v>0</v>
      </c>
    </row>
    <row r="96" spans="1:11" x14ac:dyDescent="0.2">
      <c r="A96" t="s">
        <v>18</v>
      </c>
      <c r="B96" t="s">
        <v>23</v>
      </c>
      <c r="C96">
        <v>91642372</v>
      </c>
      <c r="D96" t="s">
        <v>118</v>
      </c>
      <c r="E96" t="s">
        <v>211</v>
      </c>
      <c r="F96">
        <v>95</v>
      </c>
      <c r="G96">
        <v>62684</v>
      </c>
      <c r="H96">
        <v>1</v>
      </c>
      <c r="I96" s="3">
        <v>65.98</v>
      </c>
      <c r="J96" s="5">
        <f>VLOOKUP(C96,'monthly supplements'!C:K,9,0)</f>
        <v>65.98</v>
      </c>
      <c r="K96" s="7">
        <f t="shared" si="1"/>
        <v>0</v>
      </c>
    </row>
    <row r="97" spans="1:11" x14ac:dyDescent="0.2">
      <c r="A97" t="s">
        <v>18</v>
      </c>
      <c r="B97" t="s">
        <v>23</v>
      </c>
      <c r="C97">
        <v>108022715</v>
      </c>
      <c r="D97" t="s">
        <v>119</v>
      </c>
      <c r="E97" t="s">
        <v>211</v>
      </c>
      <c r="F97">
        <v>101</v>
      </c>
      <c r="G97">
        <v>75581</v>
      </c>
      <c r="H97">
        <v>27</v>
      </c>
      <c r="I97" s="3">
        <v>74.83</v>
      </c>
      <c r="J97" s="5">
        <f>VLOOKUP(C97,'monthly supplements'!C:K,9,0)</f>
        <v>80.349999999999994</v>
      </c>
      <c r="K97" s="7">
        <f t="shared" si="1"/>
        <v>-5.519999999999996</v>
      </c>
    </row>
    <row r="98" spans="1:11" x14ac:dyDescent="0.2">
      <c r="A98" t="s">
        <v>18</v>
      </c>
      <c r="B98" t="s">
        <v>23</v>
      </c>
      <c r="C98">
        <v>114363789</v>
      </c>
      <c r="D98" t="s">
        <v>120</v>
      </c>
      <c r="E98" t="s">
        <v>211</v>
      </c>
      <c r="F98">
        <v>37</v>
      </c>
      <c r="G98">
        <v>22914</v>
      </c>
      <c r="H98">
        <v>5</v>
      </c>
      <c r="I98" s="3">
        <v>61.93</v>
      </c>
      <c r="J98" s="5">
        <f>VLOOKUP(C98,'monthly supplements'!C:K,9,0)</f>
        <v>61.93</v>
      </c>
      <c r="K98" s="7">
        <f t="shared" si="1"/>
        <v>0</v>
      </c>
    </row>
    <row r="99" spans="1:11" x14ac:dyDescent="0.2">
      <c r="A99" t="s">
        <v>19</v>
      </c>
      <c r="B99" t="s">
        <v>23</v>
      </c>
      <c r="C99">
        <v>72127014</v>
      </c>
      <c r="D99" t="s">
        <v>121</v>
      </c>
      <c r="E99" t="s">
        <v>211</v>
      </c>
      <c r="F99">
        <v>101.08</v>
      </c>
      <c r="G99">
        <v>86994</v>
      </c>
      <c r="H99">
        <v>18.920000000000002</v>
      </c>
      <c r="I99" s="3">
        <v>86.06</v>
      </c>
      <c r="J99" s="5">
        <f>VLOOKUP(C99,'monthly supplements'!C:K,9,0)</f>
        <v>86.06</v>
      </c>
      <c r="K99" s="7">
        <f t="shared" si="1"/>
        <v>0</v>
      </c>
    </row>
    <row r="100" spans="1:11" x14ac:dyDescent="0.2">
      <c r="A100" t="s">
        <v>19</v>
      </c>
      <c r="B100" t="s">
        <v>23</v>
      </c>
      <c r="C100">
        <v>75273787</v>
      </c>
      <c r="D100" t="s">
        <v>122</v>
      </c>
      <c r="E100" t="s">
        <v>211</v>
      </c>
      <c r="F100">
        <v>83.5</v>
      </c>
      <c r="G100">
        <v>53431</v>
      </c>
      <c r="H100">
        <v>20.5</v>
      </c>
      <c r="I100" s="3">
        <v>63.99</v>
      </c>
      <c r="J100" s="5">
        <f>VLOOKUP(C100,'monthly supplements'!C:K,9,0)</f>
        <v>63.99</v>
      </c>
      <c r="K100" s="7">
        <f t="shared" si="1"/>
        <v>0</v>
      </c>
    </row>
    <row r="101" spans="1:11" x14ac:dyDescent="0.2">
      <c r="A101" t="s">
        <v>19</v>
      </c>
      <c r="B101" t="s">
        <v>23</v>
      </c>
      <c r="C101">
        <v>75941240</v>
      </c>
      <c r="D101" t="s">
        <v>123</v>
      </c>
      <c r="E101" t="s">
        <v>213</v>
      </c>
      <c r="F101">
        <v>116.58</v>
      </c>
      <c r="G101">
        <v>95377</v>
      </c>
      <c r="H101">
        <v>3.42</v>
      </c>
      <c r="I101" s="3">
        <v>81.81</v>
      </c>
      <c r="J101" s="5">
        <f>VLOOKUP(C101,'monthly supplements'!C:K,9,0)</f>
        <v>81.81</v>
      </c>
      <c r="K101" s="7">
        <f t="shared" si="1"/>
        <v>0</v>
      </c>
    </row>
    <row r="102" spans="1:11" x14ac:dyDescent="0.2">
      <c r="A102" t="s">
        <v>19</v>
      </c>
      <c r="B102" t="s">
        <v>23</v>
      </c>
      <c r="C102">
        <v>76267383</v>
      </c>
      <c r="D102" t="s">
        <v>124</v>
      </c>
      <c r="E102" t="s">
        <v>211</v>
      </c>
      <c r="F102">
        <v>66</v>
      </c>
      <c r="G102">
        <v>49866</v>
      </c>
      <c r="H102">
        <v>38</v>
      </c>
      <c r="I102" s="3">
        <v>75.55</v>
      </c>
      <c r="J102" s="5">
        <f>VLOOKUP(C102,'monthly supplements'!C:K,9,0)</f>
        <v>80.400000000000006</v>
      </c>
      <c r="K102" s="7">
        <f t="shared" si="1"/>
        <v>-4.8500000000000085</v>
      </c>
    </row>
    <row r="103" spans="1:11" x14ac:dyDescent="0.2">
      <c r="A103" t="s">
        <v>19</v>
      </c>
      <c r="B103" t="s">
        <v>23</v>
      </c>
      <c r="C103">
        <v>77534648</v>
      </c>
      <c r="D103" t="s">
        <v>125</v>
      </c>
      <c r="E103" t="s">
        <v>211</v>
      </c>
      <c r="F103">
        <v>0</v>
      </c>
      <c r="G103">
        <v>0</v>
      </c>
      <c r="H103">
        <v>0</v>
      </c>
      <c r="I103" s="3">
        <v>0</v>
      </c>
      <c r="J103" s="5">
        <f>VLOOKUP(C103,'monthly supplements'!C:K,9,0)</f>
        <v>0</v>
      </c>
      <c r="K103" s="7">
        <f t="shared" si="1"/>
        <v>0</v>
      </c>
    </row>
    <row r="104" spans="1:11" x14ac:dyDescent="0.2">
      <c r="A104" t="s">
        <v>19</v>
      </c>
      <c r="B104" t="s">
        <v>23</v>
      </c>
      <c r="C104">
        <v>78016730</v>
      </c>
      <c r="D104" t="s">
        <v>126</v>
      </c>
      <c r="E104" t="s">
        <v>213</v>
      </c>
      <c r="F104">
        <v>115.59</v>
      </c>
      <c r="G104">
        <v>66234</v>
      </c>
      <c r="H104">
        <v>4.41</v>
      </c>
      <c r="I104" s="3">
        <v>57.3</v>
      </c>
      <c r="J104" s="5">
        <f>VLOOKUP(C104,'monthly supplements'!C:K,9,0)</f>
        <v>57.3</v>
      </c>
      <c r="K104" s="7">
        <f t="shared" si="1"/>
        <v>0</v>
      </c>
    </row>
    <row r="105" spans="1:11" x14ac:dyDescent="0.2">
      <c r="A105" t="s">
        <v>19</v>
      </c>
      <c r="B105" t="s">
        <v>23</v>
      </c>
      <c r="C105">
        <v>78902945</v>
      </c>
      <c r="D105" t="s">
        <v>127</v>
      </c>
      <c r="E105" t="s">
        <v>213</v>
      </c>
      <c r="F105">
        <v>97.75</v>
      </c>
      <c r="G105">
        <v>42550</v>
      </c>
      <c r="H105">
        <v>6.25</v>
      </c>
      <c r="I105" s="3">
        <v>43.53</v>
      </c>
      <c r="J105" s="5">
        <f>VLOOKUP(C105,'monthly supplements'!C:K,9,0)</f>
        <v>43.53</v>
      </c>
      <c r="K105" s="7">
        <f t="shared" si="1"/>
        <v>0</v>
      </c>
    </row>
    <row r="106" spans="1:11" x14ac:dyDescent="0.2">
      <c r="A106" t="s">
        <v>19</v>
      </c>
      <c r="B106" t="s">
        <v>23</v>
      </c>
      <c r="C106">
        <v>80547978</v>
      </c>
      <c r="D106" t="s">
        <v>128</v>
      </c>
      <c r="E106" t="s">
        <v>212</v>
      </c>
      <c r="F106">
        <v>95.83</v>
      </c>
      <c r="G106">
        <v>77244</v>
      </c>
      <c r="H106">
        <v>32.17</v>
      </c>
      <c r="I106" s="3">
        <v>80.61</v>
      </c>
      <c r="J106" s="5">
        <f>VLOOKUP(C106,'monthly supplements'!C:K,9,0)</f>
        <v>80.61</v>
      </c>
      <c r="K106" s="7">
        <f t="shared" si="1"/>
        <v>0</v>
      </c>
    </row>
    <row r="107" spans="1:11" x14ac:dyDescent="0.2">
      <c r="A107" t="s">
        <v>19</v>
      </c>
      <c r="B107" t="s">
        <v>23</v>
      </c>
      <c r="C107">
        <v>80885733</v>
      </c>
      <c r="D107" t="s">
        <v>129</v>
      </c>
      <c r="E107" t="s">
        <v>211</v>
      </c>
      <c r="F107">
        <v>95.75</v>
      </c>
      <c r="G107">
        <v>50185</v>
      </c>
      <c r="H107">
        <v>16.25</v>
      </c>
      <c r="I107" s="3">
        <v>52.41</v>
      </c>
      <c r="J107" s="5">
        <f>VLOOKUP(C107,'monthly supplements'!C:K,9,0)</f>
        <v>55.27</v>
      </c>
      <c r="K107" s="7">
        <f t="shared" si="1"/>
        <v>-2.8600000000000065</v>
      </c>
    </row>
    <row r="108" spans="1:11" x14ac:dyDescent="0.2">
      <c r="A108" t="s">
        <v>19</v>
      </c>
      <c r="B108" t="s">
        <v>23</v>
      </c>
      <c r="C108">
        <v>81874516</v>
      </c>
      <c r="D108" t="s">
        <v>130</v>
      </c>
      <c r="E108" t="s">
        <v>214</v>
      </c>
      <c r="F108">
        <v>80.83</v>
      </c>
      <c r="G108">
        <v>55857</v>
      </c>
      <c r="H108">
        <v>23.17</v>
      </c>
      <c r="I108" s="3">
        <v>69.099999999999994</v>
      </c>
      <c r="J108" s="5">
        <f>VLOOKUP(C108,'monthly supplements'!C:K,9,0)</f>
        <v>69.099999999999994</v>
      </c>
      <c r="K108" s="7">
        <f t="shared" si="1"/>
        <v>0</v>
      </c>
    </row>
    <row r="109" spans="1:11" x14ac:dyDescent="0.2">
      <c r="A109" t="s">
        <v>19</v>
      </c>
      <c r="B109" t="s">
        <v>23</v>
      </c>
      <c r="C109">
        <v>82455581</v>
      </c>
      <c r="D109" t="s">
        <v>131</v>
      </c>
      <c r="E109" t="s">
        <v>211</v>
      </c>
      <c r="F109">
        <v>65.5</v>
      </c>
      <c r="G109">
        <v>39981</v>
      </c>
      <c r="H109">
        <v>6.5</v>
      </c>
      <c r="I109" s="3">
        <v>61.04</v>
      </c>
      <c r="J109" s="5">
        <f>VLOOKUP(C109,'monthly supplements'!C:K,9,0)</f>
        <v>61.04</v>
      </c>
      <c r="K109" s="7">
        <f t="shared" si="1"/>
        <v>0</v>
      </c>
    </row>
    <row r="110" spans="1:11" x14ac:dyDescent="0.2">
      <c r="A110" t="s">
        <v>19</v>
      </c>
      <c r="B110" t="s">
        <v>23</v>
      </c>
      <c r="C110">
        <v>82543691</v>
      </c>
      <c r="D110" t="s">
        <v>132</v>
      </c>
      <c r="E110" t="s">
        <v>211</v>
      </c>
      <c r="F110">
        <v>96.59</v>
      </c>
      <c r="G110">
        <v>52801</v>
      </c>
      <c r="H110">
        <v>15.41</v>
      </c>
      <c r="I110" s="3">
        <v>54.67</v>
      </c>
      <c r="J110" s="5">
        <f>VLOOKUP(C110,'monthly supplements'!C:K,9,0)</f>
        <v>62.06</v>
      </c>
      <c r="K110" s="7">
        <f t="shared" si="1"/>
        <v>-7.3900000000000006</v>
      </c>
    </row>
    <row r="111" spans="1:11" x14ac:dyDescent="0.2">
      <c r="A111" t="s">
        <v>19</v>
      </c>
      <c r="B111" t="s">
        <v>23</v>
      </c>
      <c r="C111">
        <v>83029767</v>
      </c>
      <c r="D111" t="s">
        <v>133</v>
      </c>
      <c r="E111" t="s">
        <v>212</v>
      </c>
      <c r="F111">
        <v>84</v>
      </c>
      <c r="G111">
        <v>75840</v>
      </c>
      <c r="H111">
        <v>28</v>
      </c>
      <c r="I111" s="3">
        <v>90.29</v>
      </c>
      <c r="J111" s="5">
        <f>VLOOKUP(C111,'monthly supplements'!C:K,9,0)</f>
        <v>90.29</v>
      </c>
      <c r="K111" s="7">
        <f t="shared" si="1"/>
        <v>0</v>
      </c>
    </row>
    <row r="112" spans="1:11" x14ac:dyDescent="0.2">
      <c r="A112" t="s">
        <v>19</v>
      </c>
      <c r="B112" t="s">
        <v>23</v>
      </c>
      <c r="C112">
        <v>83219737</v>
      </c>
      <c r="D112" t="s">
        <v>134</v>
      </c>
      <c r="E112" t="s">
        <v>211</v>
      </c>
      <c r="F112">
        <v>99.26</v>
      </c>
      <c r="G112">
        <v>47443</v>
      </c>
      <c r="H112">
        <v>12.74</v>
      </c>
      <c r="I112" s="3">
        <v>47.8</v>
      </c>
      <c r="J112" s="5">
        <f>VLOOKUP(C112,'monthly supplements'!C:K,9,0)</f>
        <v>56.28</v>
      </c>
      <c r="K112" s="7">
        <f t="shared" si="1"/>
        <v>-8.480000000000004</v>
      </c>
    </row>
    <row r="113" spans="1:11" x14ac:dyDescent="0.2">
      <c r="A113" t="s">
        <v>19</v>
      </c>
      <c r="B113" t="s">
        <v>23</v>
      </c>
      <c r="C113">
        <v>83348671</v>
      </c>
      <c r="D113" t="s">
        <v>135</v>
      </c>
      <c r="E113" t="s">
        <v>211</v>
      </c>
      <c r="F113">
        <v>120</v>
      </c>
      <c r="G113">
        <v>67060</v>
      </c>
      <c r="H113">
        <v>0</v>
      </c>
      <c r="I113" s="3">
        <v>55.88</v>
      </c>
      <c r="J113" s="5">
        <f>VLOOKUP(C113,'monthly supplements'!C:K,9,0)</f>
        <v>55.88</v>
      </c>
      <c r="K113" s="7">
        <f t="shared" si="1"/>
        <v>0</v>
      </c>
    </row>
    <row r="114" spans="1:11" x14ac:dyDescent="0.2">
      <c r="A114" t="s">
        <v>19</v>
      </c>
      <c r="B114" t="s">
        <v>23</v>
      </c>
      <c r="C114">
        <v>83550153</v>
      </c>
      <c r="D114" t="s">
        <v>136</v>
      </c>
      <c r="E114" t="s">
        <v>211</v>
      </c>
      <c r="F114">
        <v>100</v>
      </c>
      <c r="G114">
        <v>64952</v>
      </c>
      <c r="H114">
        <v>4</v>
      </c>
      <c r="I114" s="3">
        <v>64.95</v>
      </c>
      <c r="J114" s="5">
        <f>VLOOKUP(C114,'monthly supplements'!C:K,9,0)</f>
        <v>69.739999999999995</v>
      </c>
      <c r="K114" s="7">
        <f t="shared" si="1"/>
        <v>-4.789999999999992</v>
      </c>
    </row>
    <row r="115" spans="1:11" x14ac:dyDescent="0.2">
      <c r="A115" t="s">
        <v>19</v>
      </c>
      <c r="B115" t="s">
        <v>23</v>
      </c>
      <c r="C115">
        <v>83578681</v>
      </c>
      <c r="D115" t="s">
        <v>137</v>
      </c>
      <c r="E115" t="s">
        <v>211</v>
      </c>
      <c r="F115">
        <v>79.83</v>
      </c>
      <c r="G115">
        <v>56834</v>
      </c>
      <c r="H115">
        <v>24.17</v>
      </c>
      <c r="I115" s="3">
        <v>71.19</v>
      </c>
      <c r="J115" s="5">
        <f>VLOOKUP(C115,'monthly supplements'!C:K,9,0)</f>
        <v>71.19</v>
      </c>
      <c r="K115" s="7">
        <f t="shared" si="1"/>
        <v>0</v>
      </c>
    </row>
    <row r="116" spans="1:11" x14ac:dyDescent="0.2">
      <c r="A116" t="s">
        <v>19</v>
      </c>
      <c r="B116" t="s">
        <v>23</v>
      </c>
      <c r="C116">
        <v>84354521</v>
      </c>
      <c r="D116" t="s">
        <v>138</v>
      </c>
      <c r="E116" t="s">
        <v>211</v>
      </c>
      <c r="F116">
        <v>124.75</v>
      </c>
      <c r="G116">
        <v>127257</v>
      </c>
      <c r="H116">
        <v>3.25</v>
      </c>
      <c r="I116" s="3">
        <v>102.01</v>
      </c>
      <c r="J116" s="5">
        <f>VLOOKUP(C116,'monthly supplements'!C:K,9,0)</f>
        <v>102.01</v>
      </c>
      <c r="K116" s="7">
        <f t="shared" si="1"/>
        <v>0</v>
      </c>
    </row>
    <row r="117" spans="1:11" x14ac:dyDescent="0.2">
      <c r="A117" t="s">
        <v>19</v>
      </c>
      <c r="B117" t="s">
        <v>23</v>
      </c>
      <c r="C117">
        <v>84554408</v>
      </c>
      <c r="D117" t="s">
        <v>139</v>
      </c>
      <c r="E117" t="s">
        <v>211</v>
      </c>
      <c r="F117">
        <v>105</v>
      </c>
      <c r="G117">
        <v>85402</v>
      </c>
      <c r="H117">
        <v>23</v>
      </c>
      <c r="I117" s="3">
        <v>81.34</v>
      </c>
      <c r="J117" s="5">
        <f>VLOOKUP(C117,'monthly supplements'!C:K,9,0)</f>
        <v>81.34</v>
      </c>
      <c r="K117" s="7">
        <f t="shared" si="1"/>
        <v>0</v>
      </c>
    </row>
    <row r="118" spans="1:11" x14ac:dyDescent="0.2">
      <c r="A118" t="s">
        <v>19</v>
      </c>
      <c r="B118" t="s">
        <v>23</v>
      </c>
      <c r="C118">
        <v>85444078</v>
      </c>
      <c r="D118" t="s">
        <v>140</v>
      </c>
      <c r="E118" t="s">
        <v>211</v>
      </c>
      <c r="F118">
        <v>123.34</v>
      </c>
      <c r="G118">
        <v>125252</v>
      </c>
      <c r="H118">
        <v>4.66</v>
      </c>
      <c r="I118" s="3">
        <v>101.55</v>
      </c>
      <c r="J118" s="5">
        <f>VLOOKUP(C118,'monthly supplements'!C:K,9,0)</f>
        <v>101.55</v>
      </c>
      <c r="K118" s="7">
        <f t="shared" si="1"/>
        <v>0</v>
      </c>
    </row>
    <row r="119" spans="1:11" x14ac:dyDescent="0.2">
      <c r="A119" t="s">
        <v>19</v>
      </c>
      <c r="B119" t="s">
        <v>23</v>
      </c>
      <c r="C119">
        <v>87126806</v>
      </c>
      <c r="D119" t="s">
        <v>141</v>
      </c>
      <c r="E119" t="s">
        <v>211</v>
      </c>
      <c r="F119">
        <v>89.25</v>
      </c>
      <c r="G119">
        <v>43592</v>
      </c>
      <c r="H119">
        <v>6.75</v>
      </c>
      <c r="I119" s="3">
        <v>48.84</v>
      </c>
      <c r="J119" s="5">
        <f>VLOOKUP(C119,'monthly supplements'!C:K,9,0)</f>
        <v>48.84</v>
      </c>
      <c r="K119" s="7">
        <f t="shared" si="1"/>
        <v>0</v>
      </c>
    </row>
    <row r="120" spans="1:11" x14ac:dyDescent="0.2">
      <c r="A120" t="s">
        <v>19</v>
      </c>
      <c r="B120" t="s">
        <v>23</v>
      </c>
      <c r="C120">
        <v>87988828</v>
      </c>
      <c r="D120" t="s">
        <v>142</v>
      </c>
      <c r="E120" t="s">
        <v>212</v>
      </c>
      <c r="F120">
        <v>80</v>
      </c>
      <c r="G120">
        <v>52532</v>
      </c>
      <c r="H120">
        <v>16</v>
      </c>
      <c r="I120" s="3">
        <v>65.66</v>
      </c>
      <c r="J120" s="5">
        <f>VLOOKUP(C120,'monthly supplements'!C:K,9,0)</f>
        <v>69.19</v>
      </c>
      <c r="K120" s="7">
        <f t="shared" si="1"/>
        <v>-3.5300000000000011</v>
      </c>
    </row>
    <row r="121" spans="1:11" x14ac:dyDescent="0.2">
      <c r="A121" t="s">
        <v>19</v>
      </c>
      <c r="B121" t="s">
        <v>23</v>
      </c>
      <c r="C121">
        <v>89009824</v>
      </c>
      <c r="D121" t="s">
        <v>143</v>
      </c>
      <c r="E121" t="s">
        <v>212</v>
      </c>
      <c r="F121">
        <v>60.17</v>
      </c>
      <c r="G121">
        <v>35985</v>
      </c>
      <c r="H121">
        <v>3.83</v>
      </c>
      <c r="I121" s="3">
        <v>59.81</v>
      </c>
      <c r="J121" s="5">
        <f>VLOOKUP(C121,'monthly supplements'!C:K,9,0)</f>
        <v>59.81</v>
      </c>
      <c r="K121" s="7">
        <f t="shared" si="1"/>
        <v>0</v>
      </c>
    </row>
    <row r="122" spans="1:11" x14ac:dyDescent="0.2">
      <c r="A122" t="s">
        <v>19</v>
      </c>
      <c r="B122" t="s">
        <v>23</v>
      </c>
      <c r="C122">
        <v>89705148</v>
      </c>
      <c r="D122" t="s">
        <v>144</v>
      </c>
      <c r="E122" t="s">
        <v>211</v>
      </c>
      <c r="F122">
        <v>100.34</v>
      </c>
      <c r="G122">
        <v>92941</v>
      </c>
      <c r="H122">
        <v>3.66</v>
      </c>
      <c r="I122" s="3">
        <v>92.63</v>
      </c>
      <c r="J122" s="5">
        <f>VLOOKUP(C122,'monthly supplements'!C:K,9,0)</f>
        <v>100.64</v>
      </c>
      <c r="K122" s="7">
        <f t="shared" si="1"/>
        <v>-8.0100000000000051</v>
      </c>
    </row>
    <row r="123" spans="1:11" x14ac:dyDescent="0.2">
      <c r="A123" t="s">
        <v>19</v>
      </c>
      <c r="B123" t="s">
        <v>23</v>
      </c>
      <c r="C123">
        <v>89913385</v>
      </c>
      <c r="D123" t="s">
        <v>145</v>
      </c>
      <c r="E123" t="s">
        <v>213</v>
      </c>
      <c r="F123">
        <v>41</v>
      </c>
      <c r="G123">
        <v>14065</v>
      </c>
      <c r="H123">
        <v>15</v>
      </c>
      <c r="I123" s="3">
        <v>34.299999999999997</v>
      </c>
      <c r="J123" s="5">
        <f>VLOOKUP(C123,'monthly supplements'!C:K,9,0)</f>
        <v>40.72</v>
      </c>
      <c r="K123" s="7">
        <f t="shared" si="1"/>
        <v>-6.4200000000000017</v>
      </c>
    </row>
    <row r="124" spans="1:11" x14ac:dyDescent="0.2">
      <c r="A124" t="s">
        <v>19</v>
      </c>
      <c r="B124" t="s">
        <v>23</v>
      </c>
      <c r="C124">
        <v>90016431</v>
      </c>
      <c r="D124" t="s">
        <v>146</v>
      </c>
      <c r="E124" t="s">
        <v>212</v>
      </c>
      <c r="F124">
        <v>90.5</v>
      </c>
      <c r="G124">
        <v>78084</v>
      </c>
      <c r="H124">
        <v>29.5</v>
      </c>
      <c r="I124" s="3">
        <v>86.28</v>
      </c>
      <c r="J124" s="5">
        <f>VLOOKUP(C124,'monthly supplements'!C:K,9,0)</f>
        <v>91.05</v>
      </c>
      <c r="K124" s="7">
        <f t="shared" si="1"/>
        <v>-4.769999999999996</v>
      </c>
    </row>
    <row r="125" spans="1:11" x14ac:dyDescent="0.2">
      <c r="A125" t="s">
        <v>19</v>
      </c>
      <c r="B125" t="s">
        <v>23</v>
      </c>
      <c r="C125">
        <v>91001357</v>
      </c>
      <c r="D125" t="s">
        <v>147</v>
      </c>
      <c r="E125" t="s">
        <v>211</v>
      </c>
      <c r="F125">
        <v>80.75</v>
      </c>
      <c r="G125">
        <v>30322</v>
      </c>
      <c r="H125">
        <v>3.25</v>
      </c>
      <c r="I125" s="3">
        <v>37.549999999999997</v>
      </c>
      <c r="J125" s="5">
        <f>VLOOKUP(C125,'monthly supplements'!C:K,9,0)</f>
        <v>37.549999999999997</v>
      </c>
      <c r="K125" s="7">
        <f t="shared" si="1"/>
        <v>0</v>
      </c>
    </row>
    <row r="126" spans="1:11" x14ac:dyDescent="0.2">
      <c r="A126" t="s">
        <v>19</v>
      </c>
      <c r="B126" t="s">
        <v>23</v>
      </c>
      <c r="C126">
        <v>92206146</v>
      </c>
      <c r="D126" t="s">
        <v>148</v>
      </c>
      <c r="E126" t="s">
        <v>211</v>
      </c>
      <c r="F126">
        <v>92.67</v>
      </c>
      <c r="G126">
        <v>56419</v>
      </c>
      <c r="H126">
        <v>3.33</v>
      </c>
      <c r="I126" s="3">
        <v>60.88</v>
      </c>
      <c r="J126" s="5">
        <f>VLOOKUP(C126,'monthly supplements'!C:K,9,0)</f>
        <v>66.790000000000006</v>
      </c>
      <c r="K126" s="7">
        <f t="shared" si="1"/>
        <v>-5.9100000000000037</v>
      </c>
    </row>
    <row r="127" spans="1:11" x14ac:dyDescent="0.2">
      <c r="A127" t="s">
        <v>19</v>
      </c>
      <c r="B127" t="s">
        <v>23</v>
      </c>
      <c r="C127">
        <v>95677581</v>
      </c>
      <c r="D127" t="s">
        <v>149</v>
      </c>
      <c r="E127" t="s">
        <v>211</v>
      </c>
      <c r="F127">
        <v>49</v>
      </c>
      <c r="G127">
        <v>29767</v>
      </c>
      <c r="H127">
        <v>0</v>
      </c>
      <c r="I127" s="3">
        <v>60.75</v>
      </c>
      <c r="J127" s="5">
        <f>VLOOKUP(C127,'monthly supplements'!C:K,9,0)</f>
        <v>60.75</v>
      </c>
      <c r="K127" s="7">
        <f t="shared" si="1"/>
        <v>0</v>
      </c>
    </row>
    <row r="128" spans="1:11" x14ac:dyDescent="0.2">
      <c r="A128" t="s">
        <v>19</v>
      </c>
      <c r="B128" t="s">
        <v>23</v>
      </c>
      <c r="C128">
        <v>116023593</v>
      </c>
      <c r="D128" t="s">
        <v>150</v>
      </c>
      <c r="E128" t="s">
        <v>211</v>
      </c>
      <c r="F128">
        <v>21</v>
      </c>
      <c r="G128">
        <v>9351</v>
      </c>
      <c r="H128">
        <v>3</v>
      </c>
      <c r="I128" s="3">
        <v>44.53</v>
      </c>
      <c r="J128" s="5">
        <f>VLOOKUP(C128,'monthly supplements'!C:K,9,0)</f>
        <v>44.53</v>
      </c>
      <c r="K128" s="7">
        <f t="shared" si="1"/>
        <v>0</v>
      </c>
    </row>
    <row r="129" spans="1:11" x14ac:dyDescent="0.2">
      <c r="A129" t="s">
        <v>20</v>
      </c>
      <c r="B129" t="s">
        <v>23</v>
      </c>
      <c r="C129">
        <v>74842986</v>
      </c>
      <c r="D129" t="s">
        <v>151</v>
      </c>
      <c r="E129" t="s">
        <v>211</v>
      </c>
      <c r="F129">
        <v>81.83</v>
      </c>
      <c r="G129">
        <v>48611</v>
      </c>
      <c r="H129">
        <v>30.17</v>
      </c>
      <c r="I129" s="3">
        <v>59.4</v>
      </c>
      <c r="J129" s="5">
        <f>VLOOKUP(C129,'monthly supplements'!C:K,9,0)</f>
        <v>59.4</v>
      </c>
      <c r="K129" s="7">
        <f t="shared" si="1"/>
        <v>0</v>
      </c>
    </row>
    <row r="130" spans="1:11" x14ac:dyDescent="0.2">
      <c r="A130" t="s">
        <v>20</v>
      </c>
      <c r="B130" t="s">
        <v>23</v>
      </c>
      <c r="C130">
        <v>75855055</v>
      </c>
      <c r="D130" t="s">
        <v>152</v>
      </c>
      <c r="E130" t="s">
        <v>213</v>
      </c>
      <c r="F130">
        <v>37</v>
      </c>
      <c r="G130">
        <v>21383</v>
      </c>
      <c r="H130">
        <v>59</v>
      </c>
      <c r="I130" s="3">
        <v>57.79</v>
      </c>
      <c r="J130" s="5">
        <f>VLOOKUP(C130,'monthly supplements'!C:K,9,0)</f>
        <v>66.27</v>
      </c>
      <c r="K130" s="7">
        <f t="shared" si="1"/>
        <v>-8.4799999999999969</v>
      </c>
    </row>
    <row r="131" spans="1:11" x14ac:dyDescent="0.2">
      <c r="A131" t="s">
        <v>20</v>
      </c>
      <c r="B131" t="s">
        <v>23</v>
      </c>
      <c r="C131">
        <v>76719947</v>
      </c>
      <c r="D131" t="s">
        <v>153</v>
      </c>
      <c r="E131" t="s">
        <v>211</v>
      </c>
      <c r="F131">
        <v>89.83</v>
      </c>
      <c r="G131">
        <v>54121</v>
      </c>
      <c r="H131">
        <v>30.17</v>
      </c>
      <c r="I131" s="3">
        <v>60.25</v>
      </c>
      <c r="J131" s="5">
        <f>VLOOKUP(C131,'monthly supplements'!C:K,9,0)</f>
        <v>60.25</v>
      </c>
      <c r="K131" s="7">
        <f t="shared" ref="K131:K189" si="2">I131-J131</f>
        <v>0</v>
      </c>
    </row>
    <row r="132" spans="1:11" x14ac:dyDescent="0.2">
      <c r="A132" t="s">
        <v>20</v>
      </c>
      <c r="B132" t="s">
        <v>23</v>
      </c>
      <c r="C132">
        <v>76768653</v>
      </c>
      <c r="D132" t="s">
        <v>154</v>
      </c>
      <c r="E132" t="s">
        <v>211</v>
      </c>
      <c r="F132">
        <v>83.41</v>
      </c>
      <c r="G132">
        <v>53669</v>
      </c>
      <c r="H132">
        <v>28.59</v>
      </c>
      <c r="I132" s="3">
        <v>64.34</v>
      </c>
      <c r="J132" s="5">
        <f>VLOOKUP(C132,'monthly supplements'!C:K,9,0)</f>
        <v>64.34</v>
      </c>
      <c r="K132" s="7">
        <f t="shared" si="2"/>
        <v>0</v>
      </c>
    </row>
    <row r="133" spans="1:11" x14ac:dyDescent="0.2">
      <c r="A133" t="s">
        <v>20</v>
      </c>
      <c r="B133" t="s">
        <v>23</v>
      </c>
      <c r="C133">
        <v>76774861</v>
      </c>
      <c r="D133" t="s">
        <v>155</v>
      </c>
      <c r="E133" t="s">
        <v>211</v>
      </c>
      <c r="F133">
        <v>26</v>
      </c>
      <c r="G133">
        <v>21988</v>
      </c>
      <c r="H133">
        <v>22</v>
      </c>
      <c r="I133" s="3">
        <v>84.57</v>
      </c>
      <c r="J133" s="5">
        <f>VLOOKUP(C133,'monthly supplements'!C:K,9,0)</f>
        <v>84.57</v>
      </c>
      <c r="K133" s="7">
        <f t="shared" si="2"/>
        <v>0</v>
      </c>
    </row>
    <row r="134" spans="1:11" x14ac:dyDescent="0.2">
      <c r="A134" t="s">
        <v>20</v>
      </c>
      <c r="B134" t="s">
        <v>23</v>
      </c>
      <c r="C134">
        <v>77325954</v>
      </c>
      <c r="D134" t="s">
        <v>156</v>
      </c>
      <c r="E134" t="s">
        <v>211</v>
      </c>
      <c r="F134">
        <v>91</v>
      </c>
      <c r="G134">
        <v>70888</v>
      </c>
      <c r="H134">
        <v>21</v>
      </c>
      <c r="I134" s="3">
        <v>77.900000000000006</v>
      </c>
      <c r="J134" s="5">
        <f>VLOOKUP(C134,'monthly supplements'!C:K,9,0)</f>
        <v>77.900000000000006</v>
      </c>
      <c r="K134" s="7">
        <f t="shared" si="2"/>
        <v>0</v>
      </c>
    </row>
    <row r="135" spans="1:11" x14ac:dyDescent="0.2">
      <c r="A135" t="s">
        <v>20</v>
      </c>
      <c r="B135" t="s">
        <v>23</v>
      </c>
      <c r="C135">
        <v>77897387</v>
      </c>
      <c r="D135" t="s">
        <v>157</v>
      </c>
      <c r="E135" t="s">
        <v>211</v>
      </c>
      <c r="F135">
        <v>72</v>
      </c>
      <c r="G135">
        <v>72049</v>
      </c>
      <c r="H135">
        <v>8</v>
      </c>
      <c r="I135" s="3">
        <v>100.07</v>
      </c>
      <c r="J135" s="5">
        <f>VLOOKUP(C135,'monthly supplements'!C:K,9,0)</f>
        <v>100.07</v>
      </c>
      <c r="K135" s="7">
        <f t="shared" si="2"/>
        <v>0</v>
      </c>
    </row>
    <row r="136" spans="1:11" x14ac:dyDescent="0.2">
      <c r="A136" t="s">
        <v>20</v>
      </c>
      <c r="B136" t="s">
        <v>23</v>
      </c>
      <c r="C136">
        <v>78085916</v>
      </c>
      <c r="D136" t="s">
        <v>158</v>
      </c>
      <c r="E136" t="s">
        <v>211</v>
      </c>
      <c r="F136">
        <v>39.5</v>
      </c>
      <c r="G136">
        <v>35941</v>
      </c>
      <c r="H136">
        <v>0.5</v>
      </c>
      <c r="I136" s="3">
        <v>90.99</v>
      </c>
      <c r="J136" s="5">
        <f>VLOOKUP(C136,'monthly supplements'!C:K,9,0)</f>
        <v>90.99</v>
      </c>
      <c r="K136" s="7">
        <f t="shared" si="2"/>
        <v>0</v>
      </c>
    </row>
    <row r="137" spans="1:11" x14ac:dyDescent="0.2">
      <c r="A137" t="s">
        <v>20</v>
      </c>
      <c r="B137" t="s">
        <v>23</v>
      </c>
      <c r="C137">
        <v>78988862</v>
      </c>
      <c r="D137" t="s">
        <v>159</v>
      </c>
      <c r="E137" t="s">
        <v>213</v>
      </c>
      <c r="F137">
        <v>72.33</v>
      </c>
      <c r="G137">
        <v>43005</v>
      </c>
      <c r="H137">
        <v>55.67</v>
      </c>
      <c r="I137" s="3">
        <v>59.46</v>
      </c>
      <c r="J137" s="5">
        <f>VLOOKUP(C137,'monthly supplements'!C:K,9,0)</f>
        <v>59.46</v>
      </c>
      <c r="K137" s="7">
        <f t="shared" si="2"/>
        <v>0</v>
      </c>
    </row>
    <row r="138" spans="1:11" x14ac:dyDescent="0.2">
      <c r="A138" t="s">
        <v>20</v>
      </c>
      <c r="B138" t="s">
        <v>23</v>
      </c>
      <c r="C138">
        <v>78998308</v>
      </c>
      <c r="D138" t="s">
        <v>160</v>
      </c>
      <c r="E138" t="s">
        <v>212</v>
      </c>
      <c r="F138">
        <v>92</v>
      </c>
      <c r="G138">
        <v>63690</v>
      </c>
      <c r="H138">
        <v>28</v>
      </c>
      <c r="I138" s="3">
        <v>69.23</v>
      </c>
      <c r="J138" s="5">
        <f>VLOOKUP(C138,'monthly supplements'!C:K,9,0)</f>
        <v>69.23</v>
      </c>
      <c r="K138" s="7">
        <f t="shared" si="2"/>
        <v>0</v>
      </c>
    </row>
    <row r="139" spans="1:11" x14ac:dyDescent="0.2">
      <c r="A139" t="s">
        <v>20</v>
      </c>
      <c r="B139" t="s">
        <v>23</v>
      </c>
      <c r="C139">
        <v>79254553</v>
      </c>
      <c r="D139" t="s">
        <v>106</v>
      </c>
      <c r="E139" t="s">
        <v>212</v>
      </c>
      <c r="F139">
        <v>61</v>
      </c>
      <c r="G139">
        <v>55800</v>
      </c>
      <c r="H139">
        <v>27</v>
      </c>
      <c r="I139" s="3">
        <v>91.48</v>
      </c>
      <c r="J139" s="5">
        <f>VLOOKUP(C139,'monthly supplements'!C:K,9,0)</f>
        <v>91.48</v>
      </c>
      <c r="K139" s="7">
        <f t="shared" si="2"/>
        <v>0</v>
      </c>
    </row>
    <row r="140" spans="1:11" x14ac:dyDescent="0.2">
      <c r="A140" t="s">
        <v>20</v>
      </c>
      <c r="B140" t="s">
        <v>23</v>
      </c>
      <c r="C140">
        <v>80094692</v>
      </c>
      <c r="D140" t="s">
        <v>161</v>
      </c>
      <c r="E140" t="s">
        <v>211</v>
      </c>
      <c r="F140">
        <v>75.5</v>
      </c>
      <c r="G140">
        <v>38084</v>
      </c>
      <c r="H140">
        <v>20.5</v>
      </c>
      <c r="I140" s="3">
        <v>50.44</v>
      </c>
      <c r="J140" s="5">
        <f>VLOOKUP(C140,'monthly supplements'!C:K,9,0)</f>
        <v>50.44</v>
      </c>
      <c r="K140" s="7">
        <f t="shared" si="2"/>
        <v>0</v>
      </c>
    </row>
    <row r="141" spans="1:11" x14ac:dyDescent="0.2">
      <c r="A141" t="s">
        <v>20</v>
      </c>
      <c r="B141" t="s">
        <v>23</v>
      </c>
      <c r="C141">
        <v>80301554</v>
      </c>
      <c r="D141" t="s">
        <v>162</v>
      </c>
      <c r="E141" t="s">
        <v>211</v>
      </c>
      <c r="F141">
        <v>80</v>
      </c>
      <c r="G141">
        <v>70874</v>
      </c>
      <c r="H141">
        <v>24</v>
      </c>
      <c r="I141" s="3">
        <v>88.59</v>
      </c>
      <c r="J141" s="5">
        <f>VLOOKUP(C141,'monthly supplements'!C:K,9,0)</f>
        <v>88.59</v>
      </c>
      <c r="K141" s="7">
        <f t="shared" si="2"/>
        <v>0</v>
      </c>
    </row>
    <row r="142" spans="1:11" x14ac:dyDescent="0.2">
      <c r="A142" t="s">
        <v>20</v>
      </c>
      <c r="B142" t="s">
        <v>23</v>
      </c>
      <c r="C142">
        <v>80645751</v>
      </c>
      <c r="D142" t="s">
        <v>163</v>
      </c>
      <c r="E142" t="s">
        <v>211</v>
      </c>
      <c r="F142">
        <v>55.5</v>
      </c>
      <c r="G142">
        <v>42573</v>
      </c>
      <c r="H142">
        <v>24.5</v>
      </c>
      <c r="I142" s="3">
        <v>76.709999999999994</v>
      </c>
      <c r="J142" s="5">
        <f>VLOOKUP(C142,'monthly supplements'!C:K,9,0)</f>
        <v>76.709999999999994</v>
      </c>
      <c r="K142" s="7">
        <f t="shared" si="2"/>
        <v>0</v>
      </c>
    </row>
    <row r="143" spans="1:11" x14ac:dyDescent="0.2">
      <c r="A143" t="s">
        <v>20</v>
      </c>
      <c r="B143" t="s">
        <v>23</v>
      </c>
      <c r="C143">
        <v>80779463</v>
      </c>
      <c r="D143" t="s">
        <v>164</v>
      </c>
      <c r="E143" t="s">
        <v>211</v>
      </c>
      <c r="F143">
        <v>48</v>
      </c>
      <c r="G143">
        <v>26551</v>
      </c>
      <c r="H143">
        <v>48</v>
      </c>
      <c r="I143" s="3">
        <v>55.31</v>
      </c>
      <c r="J143" s="5">
        <f>VLOOKUP(C143,'monthly supplements'!C:K,9,0)</f>
        <v>55.31</v>
      </c>
      <c r="K143" s="7">
        <f t="shared" si="2"/>
        <v>0</v>
      </c>
    </row>
    <row r="144" spans="1:11" x14ac:dyDescent="0.2">
      <c r="A144" t="s">
        <v>20</v>
      </c>
      <c r="B144" t="s">
        <v>23</v>
      </c>
      <c r="C144">
        <v>81111893</v>
      </c>
      <c r="D144" t="s">
        <v>165</v>
      </c>
      <c r="E144" t="s">
        <v>211</v>
      </c>
      <c r="F144">
        <v>52</v>
      </c>
      <c r="G144">
        <v>42103</v>
      </c>
      <c r="H144">
        <v>20</v>
      </c>
      <c r="I144" s="3">
        <v>80.97</v>
      </c>
      <c r="J144" s="5">
        <f>VLOOKUP(C144,'monthly supplements'!C:K,9,0)</f>
        <v>80.97</v>
      </c>
      <c r="K144" s="7">
        <f t="shared" si="2"/>
        <v>0</v>
      </c>
    </row>
    <row r="145" spans="1:11" x14ac:dyDescent="0.2">
      <c r="A145" t="s">
        <v>20</v>
      </c>
      <c r="B145" t="s">
        <v>23</v>
      </c>
      <c r="C145">
        <v>81147038</v>
      </c>
      <c r="D145" t="s">
        <v>166</v>
      </c>
      <c r="E145" t="s">
        <v>213</v>
      </c>
      <c r="F145">
        <v>121.67</v>
      </c>
      <c r="G145">
        <v>58325</v>
      </c>
      <c r="H145">
        <v>6.33</v>
      </c>
      <c r="I145" s="3">
        <v>47.94</v>
      </c>
      <c r="J145" s="5">
        <f>VLOOKUP(C145,'monthly supplements'!C:K,9,0)</f>
        <v>47.94</v>
      </c>
      <c r="K145" s="7">
        <f t="shared" si="2"/>
        <v>0</v>
      </c>
    </row>
    <row r="146" spans="1:11" x14ac:dyDescent="0.2">
      <c r="A146" t="s">
        <v>20</v>
      </c>
      <c r="B146" t="s">
        <v>23</v>
      </c>
      <c r="C146">
        <v>81704044</v>
      </c>
      <c r="D146" t="s">
        <v>167</v>
      </c>
      <c r="E146" t="s">
        <v>211</v>
      </c>
      <c r="F146">
        <v>29.5</v>
      </c>
      <c r="G146">
        <v>22660</v>
      </c>
      <c r="H146">
        <v>74.5</v>
      </c>
      <c r="I146" s="3">
        <v>76.81</v>
      </c>
      <c r="J146" s="5">
        <f>VLOOKUP(C146,'monthly supplements'!C:K,9,0)</f>
        <v>76.81</v>
      </c>
      <c r="K146" s="7">
        <f t="shared" si="2"/>
        <v>0</v>
      </c>
    </row>
    <row r="147" spans="1:11" x14ac:dyDescent="0.2">
      <c r="A147" t="s">
        <v>20</v>
      </c>
      <c r="B147" t="s">
        <v>23</v>
      </c>
      <c r="C147">
        <v>82581493</v>
      </c>
      <c r="D147" t="s">
        <v>168</v>
      </c>
      <c r="E147" t="s">
        <v>212</v>
      </c>
      <c r="F147">
        <v>75</v>
      </c>
      <c r="G147">
        <v>49715</v>
      </c>
      <c r="H147">
        <v>29</v>
      </c>
      <c r="I147" s="3">
        <v>66.290000000000006</v>
      </c>
      <c r="J147" s="5">
        <f>VLOOKUP(C147,'monthly supplements'!C:K,9,0)</f>
        <v>66.290000000000006</v>
      </c>
      <c r="K147" s="7">
        <f t="shared" si="2"/>
        <v>0</v>
      </c>
    </row>
    <row r="148" spans="1:11" x14ac:dyDescent="0.2">
      <c r="A148" t="s">
        <v>20</v>
      </c>
      <c r="B148" t="s">
        <v>23</v>
      </c>
      <c r="C148">
        <v>82881755</v>
      </c>
      <c r="D148" t="s">
        <v>169</v>
      </c>
      <c r="E148" t="s">
        <v>212</v>
      </c>
      <c r="F148">
        <v>89</v>
      </c>
      <c r="G148">
        <v>62151</v>
      </c>
      <c r="H148">
        <v>23</v>
      </c>
      <c r="I148" s="3">
        <v>69.83</v>
      </c>
      <c r="J148" s="5">
        <f>VLOOKUP(C148,'monthly supplements'!C:K,9,0)</f>
        <v>69.83</v>
      </c>
      <c r="K148" s="7">
        <f t="shared" si="2"/>
        <v>0</v>
      </c>
    </row>
    <row r="149" spans="1:11" x14ac:dyDescent="0.2">
      <c r="A149" t="s">
        <v>20</v>
      </c>
      <c r="B149" t="s">
        <v>23</v>
      </c>
      <c r="C149">
        <v>83683507</v>
      </c>
      <c r="D149" t="s">
        <v>170</v>
      </c>
      <c r="E149" t="s">
        <v>212</v>
      </c>
      <c r="F149">
        <v>81</v>
      </c>
      <c r="G149">
        <v>72683</v>
      </c>
      <c r="H149">
        <v>23</v>
      </c>
      <c r="I149" s="3">
        <v>89.73</v>
      </c>
      <c r="J149" s="5">
        <f>VLOOKUP(C149,'monthly supplements'!C:K,9,0)</f>
        <v>89.73</v>
      </c>
      <c r="K149" s="7">
        <f t="shared" si="2"/>
        <v>0</v>
      </c>
    </row>
    <row r="150" spans="1:11" x14ac:dyDescent="0.2">
      <c r="A150" t="s">
        <v>20</v>
      </c>
      <c r="B150" t="s">
        <v>23</v>
      </c>
      <c r="C150">
        <v>84644770</v>
      </c>
      <c r="D150" t="s">
        <v>171</v>
      </c>
      <c r="E150" t="s">
        <v>212</v>
      </c>
      <c r="F150">
        <v>84</v>
      </c>
      <c r="G150">
        <v>78140</v>
      </c>
      <c r="H150">
        <v>44</v>
      </c>
      <c r="I150" s="3">
        <v>93.02</v>
      </c>
      <c r="J150" s="5">
        <f>VLOOKUP(C150,'monthly supplements'!C:K,9,0)</f>
        <v>93.02</v>
      </c>
      <c r="K150" s="7">
        <f t="shared" si="2"/>
        <v>0</v>
      </c>
    </row>
    <row r="151" spans="1:11" x14ac:dyDescent="0.2">
      <c r="A151" t="s">
        <v>20</v>
      </c>
      <c r="B151" t="s">
        <v>23</v>
      </c>
      <c r="C151">
        <v>84881830</v>
      </c>
      <c r="D151" t="s">
        <v>172</v>
      </c>
      <c r="E151" t="s">
        <v>212</v>
      </c>
      <c r="F151">
        <v>110.17</v>
      </c>
      <c r="G151">
        <v>113509</v>
      </c>
      <c r="H151">
        <v>1.83</v>
      </c>
      <c r="I151" s="3">
        <v>103.03</v>
      </c>
      <c r="J151" s="5">
        <f>VLOOKUP(C151,'monthly supplements'!C:K,9,0)</f>
        <v>103.03</v>
      </c>
      <c r="K151" s="7">
        <f t="shared" si="2"/>
        <v>0</v>
      </c>
    </row>
    <row r="152" spans="1:11" x14ac:dyDescent="0.2">
      <c r="A152" t="s">
        <v>20</v>
      </c>
      <c r="B152" t="s">
        <v>23</v>
      </c>
      <c r="C152">
        <v>85078046</v>
      </c>
      <c r="D152" t="s">
        <v>173</v>
      </c>
      <c r="E152" t="s">
        <v>211</v>
      </c>
      <c r="F152">
        <v>78</v>
      </c>
      <c r="G152">
        <v>48288</v>
      </c>
      <c r="H152">
        <v>42</v>
      </c>
      <c r="I152" s="3">
        <v>61.91</v>
      </c>
      <c r="J152" s="5">
        <f>VLOOKUP(C152,'monthly supplements'!C:K,9,0)</f>
        <v>61.91</v>
      </c>
      <c r="K152" s="7">
        <f t="shared" si="2"/>
        <v>0</v>
      </c>
    </row>
    <row r="153" spans="1:11" x14ac:dyDescent="0.2">
      <c r="A153" t="s">
        <v>20</v>
      </c>
      <c r="B153" t="s">
        <v>23</v>
      </c>
      <c r="C153">
        <v>85255627</v>
      </c>
      <c r="D153" t="s">
        <v>174</v>
      </c>
      <c r="E153" t="s">
        <v>211</v>
      </c>
      <c r="F153">
        <v>92.67</v>
      </c>
      <c r="G153">
        <v>73392</v>
      </c>
      <c r="H153">
        <v>19.329999999999998</v>
      </c>
      <c r="I153" s="3">
        <v>79.2</v>
      </c>
      <c r="J153" s="5">
        <f>VLOOKUP(C153,'monthly supplements'!C:K,9,0)</f>
        <v>85.82</v>
      </c>
      <c r="K153" s="7">
        <f t="shared" si="2"/>
        <v>-6.6199999999999903</v>
      </c>
    </row>
    <row r="154" spans="1:11" x14ac:dyDescent="0.2">
      <c r="A154" t="s">
        <v>20</v>
      </c>
      <c r="B154" t="s">
        <v>23</v>
      </c>
      <c r="C154">
        <v>87146675</v>
      </c>
      <c r="D154" t="s">
        <v>175</v>
      </c>
      <c r="E154" t="s">
        <v>212</v>
      </c>
      <c r="F154">
        <v>113.5</v>
      </c>
      <c r="G154">
        <v>119100</v>
      </c>
      <c r="H154">
        <v>6.5</v>
      </c>
      <c r="I154" s="3">
        <v>104.93</v>
      </c>
      <c r="J154" s="5">
        <f>VLOOKUP(C154,'monthly supplements'!C:K,9,0)</f>
        <v>104.93</v>
      </c>
      <c r="K154" s="7">
        <f t="shared" si="2"/>
        <v>0</v>
      </c>
    </row>
    <row r="155" spans="1:11" x14ac:dyDescent="0.2">
      <c r="A155" t="s">
        <v>20</v>
      </c>
      <c r="B155" t="s">
        <v>23</v>
      </c>
      <c r="C155">
        <v>87263615</v>
      </c>
      <c r="D155" t="s">
        <v>176</v>
      </c>
      <c r="E155" t="s">
        <v>212</v>
      </c>
      <c r="F155">
        <v>107.58</v>
      </c>
      <c r="G155">
        <v>115586</v>
      </c>
      <c r="H155">
        <v>12.42</v>
      </c>
      <c r="I155" s="3">
        <v>107.44</v>
      </c>
      <c r="J155" s="5">
        <f>VLOOKUP(C155,'monthly supplements'!C:K,9,0)</f>
        <v>107.44</v>
      </c>
      <c r="K155" s="7">
        <f t="shared" si="2"/>
        <v>0</v>
      </c>
    </row>
    <row r="156" spans="1:11" x14ac:dyDescent="0.2">
      <c r="A156" t="s">
        <v>20</v>
      </c>
      <c r="B156" t="s">
        <v>23</v>
      </c>
      <c r="C156">
        <v>87550313</v>
      </c>
      <c r="D156" t="s">
        <v>177</v>
      </c>
      <c r="E156" t="s">
        <v>213</v>
      </c>
      <c r="F156">
        <v>96</v>
      </c>
      <c r="G156">
        <v>52402</v>
      </c>
      <c r="H156">
        <v>32</v>
      </c>
      <c r="I156" s="3">
        <v>54.59</v>
      </c>
      <c r="J156" s="5">
        <f>VLOOKUP(C156,'monthly supplements'!C:K,9,0)</f>
        <v>58.41</v>
      </c>
      <c r="K156" s="7">
        <f t="shared" si="2"/>
        <v>-3.8199999999999932</v>
      </c>
    </row>
    <row r="157" spans="1:11" x14ac:dyDescent="0.2">
      <c r="A157" t="s">
        <v>20</v>
      </c>
      <c r="B157" t="s">
        <v>23</v>
      </c>
      <c r="C157">
        <v>89921322</v>
      </c>
      <c r="D157" t="s">
        <v>178</v>
      </c>
      <c r="E157" t="s">
        <v>211</v>
      </c>
      <c r="F157">
        <v>87</v>
      </c>
      <c r="G157">
        <v>67529</v>
      </c>
      <c r="H157">
        <v>33</v>
      </c>
      <c r="I157" s="3">
        <v>77.62</v>
      </c>
      <c r="J157" s="5">
        <f>VLOOKUP(C157,'monthly supplements'!C:K,9,0)</f>
        <v>77.62</v>
      </c>
      <c r="K157" s="7">
        <f t="shared" si="2"/>
        <v>0</v>
      </c>
    </row>
    <row r="158" spans="1:11" x14ac:dyDescent="0.2">
      <c r="A158" t="s">
        <v>20</v>
      </c>
      <c r="B158" t="s">
        <v>23</v>
      </c>
      <c r="C158">
        <v>90297151</v>
      </c>
      <c r="D158" t="s">
        <v>179</v>
      </c>
      <c r="E158" t="s">
        <v>211</v>
      </c>
      <c r="F158">
        <v>22</v>
      </c>
      <c r="G158">
        <v>20456</v>
      </c>
      <c r="H158">
        <v>49.5</v>
      </c>
      <c r="I158" s="3">
        <v>92.98</v>
      </c>
      <c r="J158" s="5">
        <f>VLOOKUP(C158,'monthly supplements'!C:K,9,0)</f>
        <v>92.98</v>
      </c>
      <c r="K158" s="7">
        <f t="shared" si="2"/>
        <v>0</v>
      </c>
    </row>
    <row r="159" spans="1:11" x14ac:dyDescent="0.2">
      <c r="A159" t="s">
        <v>20</v>
      </c>
      <c r="B159" t="s">
        <v>23</v>
      </c>
      <c r="C159">
        <v>92651838</v>
      </c>
      <c r="D159" t="s">
        <v>180</v>
      </c>
      <c r="E159" t="s">
        <v>212</v>
      </c>
      <c r="F159">
        <v>39</v>
      </c>
      <c r="G159">
        <v>25655</v>
      </c>
      <c r="H159">
        <v>21</v>
      </c>
      <c r="I159" s="3">
        <v>65.78</v>
      </c>
      <c r="J159" s="5">
        <f>VLOOKUP(C159,'monthly supplements'!C:K,9,0)</f>
        <v>73.34</v>
      </c>
      <c r="K159" s="7">
        <f t="shared" si="2"/>
        <v>-7.5600000000000023</v>
      </c>
    </row>
    <row r="160" spans="1:11" x14ac:dyDescent="0.2">
      <c r="A160" t="s">
        <v>20</v>
      </c>
      <c r="B160" t="s">
        <v>23</v>
      </c>
      <c r="C160">
        <v>94450266</v>
      </c>
      <c r="D160" t="s">
        <v>181</v>
      </c>
      <c r="E160" t="s">
        <v>213</v>
      </c>
      <c r="F160">
        <v>71.67</v>
      </c>
      <c r="G160">
        <v>31688</v>
      </c>
      <c r="H160">
        <v>40.33</v>
      </c>
      <c r="I160" s="3">
        <v>44.21</v>
      </c>
      <c r="J160" s="5">
        <f>VLOOKUP(C160,'monthly supplements'!C:K,9,0)</f>
        <v>44.21</v>
      </c>
      <c r="K160" s="7">
        <f t="shared" si="2"/>
        <v>0</v>
      </c>
    </row>
    <row r="161" spans="1:11" x14ac:dyDescent="0.2">
      <c r="A161" t="s">
        <v>21</v>
      </c>
      <c r="B161" t="s">
        <v>23</v>
      </c>
      <c r="C161">
        <v>74771417</v>
      </c>
      <c r="D161" t="s">
        <v>182</v>
      </c>
      <c r="E161" t="s">
        <v>211</v>
      </c>
      <c r="F161">
        <v>49</v>
      </c>
      <c r="G161">
        <v>42343</v>
      </c>
      <c r="H161">
        <v>47</v>
      </c>
      <c r="I161" s="3">
        <v>86.41</v>
      </c>
      <c r="J161" s="5">
        <f>VLOOKUP(C161,'monthly supplements'!C:K,9,0)</f>
        <v>96.21</v>
      </c>
      <c r="K161" s="7">
        <f t="shared" si="2"/>
        <v>-9.7999999999999972</v>
      </c>
    </row>
    <row r="162" spans="1:11" x14ac:dyDescent="0.2">
      <c r="A162" t="s">
        <v>21</v>
      </c>
      <c r="B162" t="s">
        <v>23</v>
      </c>
      <c r="C162">
        <v>76619902</v>
      </c>
      <c r="D162" t="s">
        <v>183</v>
      </c>
      <c r="E162" t="s">
        <v>213</v>
      </c>
      <c r="F162">
        <v>94</v>
      </c>
      <c r="G162">
        <v>52254</v>
      </c>
      <c r="H162">
        <v>18</v>
      </c>
      <c r="I162" s="3">
        <v>55.59</v>
      </c>
      <c r="J162" s="5">
        <f>VLOOKUP(C162,'monthly supplements'!C:K,9,0)</f>
        <v>55.59</v>
      </c>
      <c r="K162" s="7">
        <f t="shared" si="2"/>
        <v>0</v>
      </c>
    </row>
    <row r="163" spans="1:11" x14ac:dyDescent="0.2">
      <c r="A163" t="s">
        <v>21</v>
      </c>
      <c r="B163" t="s">
        <v>23</v>
      </c>
      <c r="C163">
        <v>76955811</v>
      </c>
      <c r="D163" t="s">
        <v>184</v>
      </c>
      <c r="E163" t="s">
        <v>211</v>
      </c>
      <c r="F163">
        <v>74</v>
      </c>
      <c r="G163">
        <v>51128</v>
      </c>
      <c r="H163">
        <v>46</v>
      </c>
      <c r="I163" s="3">
        <v>69.09</v>
      </c>
      <c r="J163" s="5">
        <f>VLOOKUP(C163,'monthly supplements'!C:K,9,0)</f>
        <v>72.44</v>
      </c>
      <c r="K163" s="7">
        <f t="shared" si="2"/>
        <v>-3.3499999999999943</v>
      </c>
    </row>
    <row r="164" spans="1:11" x14ac:dyDescent="0.2">
      <c r="A164" t="s">
        <v>21</v>
      </c>
      <c r="B164" t="s">
        <v>23</v>
      </c>
      <c r="C164">
        <v>78167801</v>
      </c>
      <c r="D164" t="s">
        <v>185</v>
      </c>
      <c r="E164" t="s">
        <v>211</v>
      </c>
      <c r="F164">
        <v>63</v>
      </c>
      <c r="G164">
        <v>41190</v>
      </c>
      <c r="H164">
        <v>33</v>
      </c>
      <c r="I164" s="3">
        <v>65.38</v>
      </c>
      <c r="J164" s="5">
        <f>VLOOKUP(C164,'monthly supplements'!C:K,9,0)</f>
        <v>65.38</v>
      </c>
      <c r="K164" s="7">
        <f t="shared" si="2"/>
        <v>0</v>
      </c>
    </row>
    <row r="165" spans="1:11" x14ac:dyDescent="0.2">
      <c r="A165" t="s">
        <v>21</v>
      </c>
      <c r="B165" t="s">
        <v>23</v>
      </c>
      <c r="C165">
        <v>78505728</v>
      </c>
      <c r="D165" t="s">
        <v>186</v>
      </c>
      <c r="E165" t="s">
        <v>211</v>
      </c>
      <c r="F165">
        <v>66</v>
      </c>
      <c r="G165">
        <v>42887</v>
      </c>
      <c r="H165">
        <v>46</v>
      </c>
      <c r="I165" s="3">
        <v>64.98</v>
      </c>
      <c r="J165" s="5">
        <f>VLOOKUP(C165,'monthly supplements'!C:K,9,0)</f>
        <v>64.98</v>
      </c>
      <c r="K165" s="7">
        <f t="shared" si="2"/>
        <v>0</v>
      </c>
    </row>
    <row r="166" spans="1:11" x14ac:dyDescent="0.2">
      <c r="A166" t="s">
        <v>21</v>
      </c>
      <c r="B166" t="s">
        <v>23</v>
      </c>
      <c r="C166">
        <v>79054243</v>
      </c>
      <c r="D166" t="s">
        <v>187</v>
      </c>
      <c r="E166" t="s">
        <v>212</v>
      </c>
      <c r="F166">
        <v>65</v>
      </c>
      <c r="G166">
        <v>72986</v>
      </c>
      <c r="H166">
        <v>63</v>
      </c>
      <c r="I166" s="3">
        <v>112.29</v>
      </c>
      <c r="J166" s="5">
        <f>VLOOKUP(C166,'monthly supplements'!C:K,9,0)</f>
        <v>112.29</v>
      </c>
      <c r="K166" s="7">
        <f t="shared" si="2"/>
        <v>0</v>
      </c>
    </row>
    <row r="167" spans="1:11" x14ac:dyDescent="0.2">
      <c r="A167" t="s">
        <v>21</v>
      </c>
      <c r="B167" t="s">
        <v>23</v>
      </c>
      <c r="C167">
        <v>79109848</v>
      </c>
      <c r="D167" t="s">
        <v>188</v>
      </c>
      <c r="E167" t="s">
        <v>213</v>
      </c>
      <c r="F167">
        <v>60</v>
      </c>
      <c r="G167">
        <v>56098</v>
      </c>
      <c r="H167">
        <v>44</v>
      </c>
      <c r="I167" s="3">
        <v>93.5</v>
      </c>
      <c r="J167" s="5">
        <f>VLOOKUP(C167,'monthly supplements'!C:K,9,0)</f>
        <v>98.42</v>
      </c>
      <c r="K167" s="7">
        <f t="shared" si="2"/>
        <v>-4.9200000000000017</v>
      </c>
    </row>
    <row r="168" spans="1:11" x14ac:dyDescent="0.2">
      <c r="A168" t="s">
        <v>21</v>
      </c>
      <c r="B168" t="s">
        <v>23</v>
      </c>
      <c r="C168">
        <v>79248424</v>
      </c>
      <c r="D168" t="s">
        <v>189</v>
      </c>
      <c r="E168" t="s">
        <v>211</v>
      </c>
      <c r="F168">
        <v>66</v>
      </c>
      <c r="G168">
        <v>67848</v>
      </c>
      <c r="H168">
        <v>54</v>
      </c>
      <c r="I168" s="3">
        <v>102.8</v>
      </c>
      <c r="J168" s="5">
        <f>VLOOKUP(C168,'monthly supplements'!C:K,9,0)</f>
        <v>102.8</v>
      </c>
      <c r="K168" s="7">
        <f t="shared" si="2"/>
        <v>0</v>
      </c>
    </row>
    <row r="169" spans="1:11" x14ac:dyDescent="0.2">
      <c r="A169" t="s">
        <v>21</v>
      </c>
      <c r="B169" t="s">
        <v>23</v>
      </c>
      <c r="C169">
        <v>80603016</v>
      </c>
      <c r="D169" t="s">
        <v>190</v>
      </c>
      <c r="E169" t="s">
        <v>213</v>
      </c>
      <c r="F169">
        <v>70</v>
      </c>
      <c r="G169">
        <v>49681</v>
      </c>
      <c r="H169">
        <v>50</v>
      </c>
      <c r="I169" s="3">
        <v>70.97</v>
      </c>
      <c r="J169" s="5">
        <f>VLOOKUP(C169,'monthly supplements'!C:K,9,0)</f>
        <v>70.97</v>
      </c>
      <c r="K169" s="7">
        <f t="shared" si="2"/>
        <v>0</v>
      </c>
    </row>
    <row r="170" spans="1:11" x14ac:dyDescent="0.2">
      <c r="A170" t="s">
        <v>21</v>
      </c>
      <c r="B170" t="s">
        <v>23</v>
      </c>
      <c r="C170">
        <v>81344316</v>
      </c>
      <c r="D170" t="s">
        <v>191</v>
      </c>
      <c r="E170" t="s">
        <v>211</v>
      </c>
      <c r="F170">
        <v>0</v>
      </c>
      <c r="G170">
        <v>0</v>
      </c>
      <c r="H170">
        <v>0</v>
      </c>
      <c r="I170" s="3">
        <v>0</v>
      </c>
      <c r="J170" s="5">
        <f>VLOOKUP(C170,'monthly supplements'!C:K,9,0)</f>
        <v>0</v>
      </c>
      <c r="K170" s="7">
        <f t="shared" si="2"/>
        <v>0</v>
      </c>
    </row>
    <row r="171" spans="1:11" x14ac:dyDescent="0.2">
      <c r="A171" t="s">
        <v>21</v>
      </c>
      <c r="B171" t="s">
        <v>23</v>
      </c>
      <c r="C171">
        <v>81391190</v>
      </c>
      <c r="D171" t="s">
        <v>192</v>
      </c>
      <c r="E171" t="s">
        <v>211</v>
      </c>
      <c r="F171">
        <v>77</v>
      </c>
      <c r="G171">
        <v>46234</v>
      </c>
      <c r="H171">
        <v>51</v>
      </c>
      <c r="I171" s="3">
        <v>60.04</v>
      </c>
      <c r="J171" s="5">
        <f>VLOOKUP(C171,'monthly supplements'!C:K,9,0)</f>
        <v>66.010000000000005</v>
      </c>
      <c r="K171" s="7">
        <f t="shared" si="2"/>
        <v>-5.970000000000006</v>
      </c>
    </row>
    <row r="172" spans="1:11" x14ac:dyDescent="0.2">
      <c r="A172" t="s">
        <v>21</v>
      </c>
      <c r="B172" t="s">
        <v>23</v>
      </c>
      <c r="C172">
        <v>81728268</v>
      </c>
      <c r="D172" t="s">
        <v>193</v>
      </c>
      <c r="E172" t="s">
        <v>211</v>
      </c>
      <c r="F172">
        <v>80</v>
      </c>
      <c r="G172">
        <v>78745</v>
      </c>
      <c r="H172">
        <v>40</v>
      </c>
      <c r="I172" s="3">
        <v>98.43</v>
      </c>
      <c r="J172" s="5">
        <f>VLOOKUP(C172,'monthly supplements'!C:K,9,0)</f>
        <v>98.43</v>
      </c>
      <c r="K172" s="7">
        <f t="shared" si="2"/>
        <v>0</v>
      </c>
    </row>
    <row r="173" spans="1:11" x14ac:dyDescent="0.2">
      <c r="A173" t="s">
        <v>21</v>
      </c>
      <c r="B173" t="s">
        <v>23</v>
      </c>
      <c r="C173">
        <v>82445203</v>
      </c>
      <c r="D173" t="s">
        <v>194</v>
      </c>
      <c r="E173" t="s">
        <v>213</v>
      </c>
      <c r="F173">
        <v>95</v>
      </c>
      <c r="G173">
        <v>41733</v>
      </c>
      <c r="H173">
        <v>25</v>
      </c>
      <c r="I173" s="3">
        <v>43.93</v>
      </c>
      <c r="J173" s="5">
        <f>VLOOKUP(C173,'monthly supplements'!C:K,9,0)</f>
        <v>51.95</v>
      </c>
      <c r="K173" s="7">
        <f t="shared" si="2"/>
        <v>-8.0200000000000031</v>
      </c>
    </row>
    <row r="174" spans="1:11" x14ac:dyDescent="0.2">
      <c r="A174" t="s">
        <v>21</v>
      </c>
      <c r="B174" t="s">
        <v>23</v>
      </c>
      <c r="C174">
        <v>83884151</v>
      </c>
      <c r="D174" t="s">
        <v>195</v>
      </c>
      <c r="E174" t="s">
        <v>213</v>
      </c>
      <c r="F174">
        <v>87</v>
      </c>
      <c r="G174">
        <v>65412</v>
      </c>
      <c r="H174">
        <v>41</v>
      </c>
      <c r="I174" s="3">
        <v>75.19</v>
      </c>
      <c r="J174" s="5">
        <f>VLOOKUP(C174,'monthly supplements'!C:K,9,0)</f>
        <v>75.19</v>
      </c>
      <c r="K174" s="7">
        <f t="shared" si="2"/>
        <v>0</v>
      </c>
    </row>
    <row r="175" spans="1:11" x14ac:dyDescent="0.2">
      <c r="A175" t="s">
        <v>21</v>
      </c>
      <c r="B175" t="s">
        <v>23</v>
      </c>
      <c r="C175">
        <v>85320345</v>
      </c>
      <c r="D175" t="s">
        <v>196</v>
      </c>
      <c r="E175" t="s">
        <v>212</v>
      </c>
      <c r="F175">
        <v>49</v>
      </c>
      <c r="G175">
        <v>42418</v>
      </c>
      <c r="H175">
        <v>63</v>
      </c>
      <c r="I175" s="3">
        <v>86.57</v>
      </c>
      <c r="J175" s="5">
        <f>VLOOKUP(C175,'monthly supplements'!C:K,9,0)</f>
        <v>86.57</v>
      </c>
      <c r="K175" s="7">
        <f t="shared" si="2"/>
        <v>0</v>
      </c>
    </row>
    <row r="176" spans="1:11" x14ac:dyDescent="0.2">
      <c r="A176" t="s">
        <v>21</v>
      </c>
      <c r="B176" t="s">
        <v>23</v>
      </c>
      <c r="C176">
        <v>87263608</v>
      </c>
      <c r="D176" t="s">
        <v>197</v>
      </c>
      <c r="E176" t="s">
        <v>212</v>
      </c>
      <c r="F176">
        <v>71.75</v>
      </c>
      <c r="G176">
        <v>73057</v>
      </c>
      <c r="H176">
        <v>40.25</v>
      </c>
      <c r="I176" s="3">
        <v>101.82</v>
      </c>
      <c r="J176" s="5">
        <f>VLOOKUP(C176,'monthly supplements'!C:K,9,0)</f>
        <v>105.68</v>
      </c>
      <c r="K176" s="7">
        <f t="shared" si="2"/>
        <v>-3.8600000000000136</v>
      </c>
    </row>
    <row r="177" spans="1:11" x14ac:dyDescent="0.2">
      <c r="A177" t="s">
        <v>21</v>
      </c>
      <c r="B177" t="s">
        <v>23</v>
      </c>
      <c r="C177">
        <v>88423964</v>
      </c>
      <c r="D177" t="s">
        <v>198</v>
      </c>
      <c r="E177" t="s">
        <v>211</v>
      </c>
      <c r="F177">
        <v>45</v>
      </c>
      <c r="G177">
        <v>39763</v>
      </c>
      <c r="H177">
        <v>51</v>
      </c>
      <c r="I177" s="3">
        <v>88.36</v>
      </c>
      <c r="J177" s="5">
        <f>VLOOKUP(C177,'monthly supplements'!C:K,9,0)</f>
        <v>92.47</v>
      </c>
      <c r="K177" s="7">
        <f t="shared" si="2"/>
        <v>-4.1099999999999994</v>
      </c>
    </row>
    <row r="178" spans="1:11" x14ac:dyDescent="0.2">
      <c r="A178" t="s">
        <v>21</v>
      </c>
      <c r="B178" t="s">
        <v>23</v>
      </c>
      <c r="C178">
        <v>88833817</v>
      </c>
      <c r="D178" t="s">
        <v>199</v>
      </c>
      <c r="E178" t="s">
        <v>213</v>
      </c>
      <c r="F178">
        <v>49</v>
      </c>
      <c r="G178">
        <v>32570</v>
      </c>
      <c r="H178">
        <v>39</v>
      </c>
      <c r="I178" s="3">
        <v>66.47</v>
      </c>
      <c r="J178" s="5">
        <f>VLOOKUP(C178,'monthly supplements'!C:K,9,0)</f>
        <v>66.47</v>
      </c>
      <c r="K178" s="7">
        <f t="shared" si="2"/>
        <v>0</v>
      </c>
    </row>
    <row r="179" spans="1:11" x14ac:dyDescent="0.2">
      <c r="A179" t="s">
        <v>21</v>
      </c>
      <c r="B179" t="s">
        <v>23</v>
      </c>
      <c r="C179">
        <v>88859729</v>
      </c>
      <c r="D179" t="s">
        <v>200</v>
      </c>
      <c r="E179" t="s">
        <v>211</v>
      </c>
      <c r="F179">
        <v>78</v>
      </c>
      <c r="G179">
        <v>84745</v>
      </c>
      <c r="H179">
        <v>50</v>
      </c>
      <c r="I179" s="3">
        <v>108.65</v>
      </c>
      <c r="J179" s="5">
        <f>VLOOKUP(C179,'monthly supplements'!C:K,9,0)</f>
        <v>108.65</v>
      </c>
      <c r="K179" s="7">
        <f t="shared" si="2"/>
        <v>0</v>
      </c>
    </row>
    <row r="180" spans="1:11" x14ac:dyDescent="0.2">
      <c r="A180" t="s">
        <v>21</v>
      </c>
      <c r="B180" t="s">
        <v>23</v>
      </c>
      <c r="C180">
        <v>121171603</v>
      </c>
      <c r="D180" t="s">
        <v>201</v>
      </c>
      <c r="E180" t="s">
        <v>213</v>
      </c>
      <c r="F180">
        <v>105</v>
      </c>
      <c r="G180">
        <v>38981</v>
      </c>
      <c r="H180">
        <v>23</v>
      </c>
      <c r="I180" s="3">
        <v>37.119999999999997</v>
      </c>
      <c r="J180" s="5">
        <f>VLOOKUP(C180,'monthly supplements'!C:K,9,0)</f>
        <v>37.119999999999997</v>
      </c>
      <c r="K180" s="7">
        <f t="shared" si="2"/>
        <v>0</v>
      </c>
    </row>
    <row r="181" spans="1:11" x14ac:dyDescent="0.2">
      <c r="A181" t="s">
        <v>21</v>
      </c>
      <c r="B181" t="s">
        <v>23</v>
      </c>
      <c r="C181">
        <v>123264123</v>
      </c>
      <c r="D181" t="s">
        <v>202</v>
      </c>
      <c r="E181" t="s">
        <v>213</v>
      </c>
      <c r="F181">
        <v>128</v>
      </c>
      <c r="G181">
        <v>0</v>
      </c>
      <c r="H181">
        <v>0</v>
      </c>
      <c r="I181" s="3">
        <v>0</v>
      </c>
      <c r="J181" s="5">
        <f>VLOOKUP(C181,'monthly supplements'!C:K,9,0)</f>
        <v>0</v>
      </c>
      <c r="K181" s="7">
        <f t="shared" si="2"/>
        <v>0</v>
      </c>
    </row>
    <row r="182" spans="1:11" x14ac:dyDescent="0.2">
      <c r="A182" t="s">
        <v>22</v>
      </c>
      <c r="B182" t="s">
        <v>23</v>
      </c>
      <c r="C182">
        <v>76795929</v>
      </c>
      <c r="D182" t="s">
        <v>203</v>
      </c>
      <c r="E182" t="s">
        <v>211</v>
      </c>
      <c r="F182">
        <v>0</v>
      </c>
      <c r="G182">
        <v>0</v>
      </c>
      <c r="H182">
        <v>80</v>
      </c>
      <c r="I182" s="3">
        <v>0</v>
      </c>
      <c r="K182" s="7">
        <f t="shared" si="2"/>
        <v>0</v>
      </c>
    </row>
    <row r="183" spans="1:11" x14ac:dyDescent="0.2">
      <c r="A183" t="s">
        <v>22</v>
      </c>
      <c r="B183" t="s">
        <v>23</v>
      </c>
      <c r="C183">
        <v>76804197</v>
      </c>
      <c r="D183" t="s">
        <v>204</v>
      </c>
      <c r="E183" t="s">
        <v>212</v>
      </c>
      <c r="F183">
        <v>8</v>
      </c>
      <c r="G183">
        <v>0</v>
      </c>
      <c r="H183">
        <v>120</v>
      </c>
      <c r="I183" s="3">
        <v>0</v>
      </c>
      <c r="K183" s="7">
        <f t="shared" si="2"/>
        <v>0</v>
      </c>
    </row>
    <row r="184" spans="1:11" x14ac:dyDescent="0.2">
      <c r="A184" t="s">
        <v>22</v>
      </c>
      <c r="B184" t="s">
        <v>23</v>
      </c>
      <c r="C184">
        <v>77374835</v>
      </c>
      <c r="D184" t="s">
        <v>205</v>
      </c>
      <c r="E184" t="s">
        <v>211</v>
      </c>
      <c r="F184">
        <v>0</v>
      </c>
      <c r="G184">
        <v>0</v>
      </c>
      <c r="H184">
        <v>80</v>
      </c>
      <c r="I184" s="3">
        <v>0</v>
      </c>
      <c r="K184" s="7">
        <f t="shared" si="2"/>
        <v>0</v>
      </c>
    </row>
    <row r="185" spans="1:11" x14ac:dyDescent="0.2">
      <c r="A185" t="s">
        <v>22</v>
      </c>
      <c r="B185" t="s">
        <v>23</v>
      </c>
      <c r="C185">
        <v>78035382</v>
      </c>
      <c r="D185" t="s">
        <v>206</v>
      </c>
      <c r="E185" t="s">
        <v>213</v>
      </c>
      <c r="F185">
        <v>0</v>
      </c>
      <c r="G185">
        <v>0</v>
      </c>
      <c r="H185">
        <v>84</v>
      </c>
      <c r="I185" s="3">
        <v>0</v>
      </c>
      <c r="K185" s="7">
        <f t="shared" si="2"/>
        <v>0</v>
      </c>
    </row>
    <row r="186" spans="1:11" x14ac:dyDescent="0.2">
      <c r="A186" t="s">
        <v>22</v>
      </c>
      <c r="B186" t="s">
        <v>23</v>
      </c>
      <c r="C186">
        <v>80211251</v>
      </c>
      <c r="D186" t="s">
        <v>207</v>
      </c>
      <c r="E186" t="s">
        <v>211</v>
      </c>
      <c r="F186">
        <v>0</v>
      </c>
      <c r="G186">
        <v>0</v>
      </c>
      <c r="H186">
        <v>88</v>
      </c>
      <c r="I186" s="3">
        <v>0</v>
      </c>
      <c r="K186" s="7">
        <f t="shared" si="2"/>
        <v>0</v>
      </c>
    </row>
    <row r="187" spans="1:11" x14ac:dyDescent="0.2">
      <c r="A187" t="s">
        <v>22</v>
      </c>
      <c r="B187" t="s">
        <v>23</v>
      </c>
      <c r="C187">
        <v>83668843</v>
      </c>
      <c r="D187" t="s">
        <v>208</v>
      </c>
      <c r="E187" t="s">
        <v>211</v>
      </c>
      <c r="F187">
        <v>0</v>
      </c>
      <c r="G187">
        <v>0</v>
      </c>
      <c r="H187">
        <v>88</v>
      </c>
      <c r="I187" s="3">
        <v>0</v>
      </c>
      <c r="K187" s="7">
        <f t="shared" si="2"/>
        <v>0</v>
      </c>
    </row>
    <row r="188" spans="1:11" x14ac:dyDescent="0.2">
      <c r="A188" t="s">
        <v>22</v>
      </c>
      <c r="B188" t="s">
        <v>23</v>
      </c>
      <c r="C188">
        <v>86555700</v>
      </c>
      <c r="D188" t="s">
        <v>209</v>
      </c>
      <c r="E188" t="s">
        <v>213</v>
      </c>
      <c r="F188">
        <v>0</v>
      </c>
      <c r="G188">
        <v>0</v>
      </c>
      <c r="H188">
        <v>0</v>
      </c>
      <c r="I188" s="3">
        <v>0</v>
      </c>
      <c r="K188" s="7">
        <f t="shared" si="2"/>
        <v>0</v>
      </c>
    </row>
    <row r="189" spans="1:11" x14ac:dyDescent="0.2">
      <c r="A189" t="s">
        <v>22</v>
      </c>
      <c r="B189" t="s">
        <v>23</v>
      </c>
      <c r="C189">
        <v>107033310</v>
      </c>
      <c r="D189" t="s">
        <v>210</v>
      </c>
      <c r="E189" t="s">
        <v>211</v>
      </c>
      <c r="F189">
        <v>0</v>
      </c>
      <c r="G189">
        <v>0</v>
      </c>
      <c r="H189">
        <v>104</v>
      </c>
      <c r="I189" s="3">
        <v>0</v>
      </c>
      <c r="K189" s="7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582F-B125-4903-B3FB-F64E892A6537}">
  <dimension ref="A1:O147"/>
  <sheetViews>
    <sheetView workbookViewId="0">
      <selection activeCell="C1" sqref="C1:C1048576"/>
    </sheetView>
  </sheetViews>
  <sheetFormatPr baseColWidth="10" defaultColWidth="8.83203125" defaultRowHeight="15" x14ac:dyDescent="0.2"/>
  <cols>
    <col min="11" max="11" width="9.1640625" style="5"/>
  </cols>
  <sheetData>
    <row r="1" spans="1:15" x14ac:dyDescent="0.2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4" t="s">
        <v>225</v>
      </c>
      <c r="L1" s="1" t="s">
        <v>226</v>
      </c>
      <c r="M1" s="1" t="s">
        <v>227</v>
      </c>
      <c r="N1" s="1" t="s">
        <v>228</v>
      </c>
      <c r="O1" s="1" t="s">
        <v>229</v>
      </c>
    </row>
    <row r="2" spans="1:15" x14ac:dyDescent="0.2">
      <c r="A2" t="s">
        <v>80</v>
      </c>
      <c r="B2" t="s">
        <v>17</v>
      </c>
      <c r="C2">
        <v>85545319</v>
      </c>
      <c r="D2" t="s">
        <v>213</v>
      </c>
      <c r="E2">
        <v>16446</v>
      </c>
      <c r="F2">
        <v>25</v>
      </c>
      <c r="G2">
        <v>95</v>
      </c>
      <c r="H2">
        <v>0</v>
      </c>
      <c r="I2">
        <v>0</v>
      </c>
      <c r="J2">
        <v>0</v>
      </c>
      <c r="K2" s="5">
        <v>65.78</v>
      </c>
      <c r="L2">
        <v>7000</v>
      </c>
      <c r="M2">
        <v>0</v>
      </c>
      <c r="N2">
        <v>0</v>
      </c>
      <c r="O2">
        <v>1</v>
      </c>
    </row>
    <row r="3" spans="1:15" x14ac:dyDescent="0.2">
      <c r="A3" t="s">
        <v>86</v>
      </c>
      <c r="B3" t="s">
        <v>17</v>
      </c>
      <c r="C3">
        <v>91133474</v>
      </c>
      <c r="D3" t="s">
        <v>212</v>
      </c>
      <c r="E3">
        <v>34199</v>
      </c>
      <c r="F3">
        <v>59</v>
      </c>
      <c r="G3">
        <v>29</v>
      </c>
      <c r="H3">
        <v>0</v>
      </c>
      <c r="I3">
        <v>0</v>
      </c>
      <c r="J3">
        <v>5</v>
      </c>
      <c r="K3" s="5">
        <v>57.96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82</v>
      </c>
      <c r="B4" t="s">
        <v>17</v>
      </c>
      <c r="C4">
        <v>87793774</v>
      </c>
      <c r="D4" t="s">
        <v>213</v>
      </c>
      <c r="E4">
        <v>43501</v>
      </c>
      <c r="F4">
        <v>63</v>
      </c>
      <c r="G4">
        <v>17</v>
      </c>
      <c r="H4">
        <v>0</v>
      </c>
      <c r="I4">
        <v>0</v>
      </c>
      <c r="J4">
        <v>6</v>
      </c>
      <c r="K4" s="5">
        <v>69.05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65</v>
      </c>
      <c r="B5" t="s">
        <v>17</v>
      </c>
      <c r="C5">
        <v>77626660</v>
      </c>
      <c r="D5" t="s">
        <v>211</v>
      </c>
      <c r="E5">
        <v>26684</v>
      </c>
      <c r="F5">
        <v>42</v>
      </c>
      <c r="G5">
        <v>7</v>
      </c>
      <c r="H5">
        <v>0</v>
      </c>
      <c r="I5">
        <v>0</v>
      </c>
      <c r="J5">
        <v>6</v>
      </c>
      <c r="K5" s="5">
        <v>63.53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67</v>
      </c>
      <c r="B6" t="s">
        <v>17</v>
      </c>
      <c r="C6">
        <v>78240748</v>
      </c>
      <c r="D6" t="s">
        <v>213</v>
      </c>
      <c r="E6">
        <v>73192</v>
      </c>
      <c r="F6">
        <v>104</v>
      </c>
      <c r="G6">
        <v>8</v>
      </c>
      <c r="H6">
        <v>0</v>
      </c>
      <c r="I6">
        <v>0</v>
      </c>
      <c r="J6">
        <v>0</v>
      </c>
      <c r="K6" s="5">
        <v>70.38</v>
      </c>
      <c r="L6">
        <v>7000</v>
      </c>
      <c r="M6">
        <v>0</v>
      </c>
      <c r="N6">
        <v>0</v>
      </c>
      <c r="O6">
        <v>1</v>
      </c>
    </row>
    <row r="7" spans="1:15" x14ac:dyDescent="0.2">
      <c r="A7" t="s">
        <v>69</v>
      </c>
      <c r="B7" t="s">
        <v>17</v>
      </c>
      <c r="C7">
        <v>78917125</v>
      </c>
      <c r="D7" t="s">
        <v>211</v>
      </c>
      <c r="E7">
        <v>90630</v>
      </c>
      <c r="F7">
        <v>94</v>
      </c>
      <c r="G7">
        <v>18</v>
      </c>
      <c r="H7">
        <v>0</v>
      </c>
      <c r="I7">
        <v>0</v>
      </c>
      <c r="J7">
        <v>0</v>
      </c>
      <c r="K7" s="5">
        <v>96.41</v>
      </c>
      <c r="L7">
        <v>54000</v>
      </c>
      <c r="M7">
        <v>0</v>
      </c>
      <c r="N7">
        <v>13500</v>
      </c>
      <c r="O7">
        <v>1</v>
      </c>
    </row>
    <row r="8" spans="1:15" x14ac:dyDescent="0.2">
      <c r="A8" t="s">
        <v>60</v>
      </c>
      <c r="B8" t="s">
        <v>17</v>
      </c>
      <c r="C8">
        <v>74688759</v>
      </c>
      <c r="D8" t="s">
        <v>211</v>
      </c>
      <c r="E8">
        <v>69019</v>
      </c>
      <c r="F8">
        <v>88</v>
      </c>
      <c r="G8">
        <v>40</v>
      </c>
      <c r="H8">
        <v>0</v>
      </c>
      <c r="I8">
        <v>0</v>
      </c>
      <c r="J8">
        <v>0</v>
      </c>
      <c r="K8" s="5">
        <v>78.430000000000007</v>
      </c>
      <c r="L8">
        <v>7000</v>
      </c>
      <c r="M8">
        <v>0</v>
      </c>
      <c r="N8">
        <v>0</v>
      </c>
      <c r="O8">
        <v>1</v>
      </c>
    </row>
    <row r="9" spans="1:15" x14ac:dyDescent="0.2">
      <c r="A9" t="s">
        <v>85</v>
      </c>
      <c r="B9" t="s">
        <v>17</v>
      </c>
      <c r="C9">
        <v>91061599</v>
      </c>
      <c r="D9" t="s">
        <v>213</v>
      </c>
      <c r="E9">
        <v>105584</v>
      </c>
      <c r="F9">
        <v>114</v>
      </c>
      <c r="G9">
        <v>14</v>
      </c>
      <c r="H9">
        <v>0</v>
      </c>
      <c r="I9">
        <v>0</v>
      </c>
      <c r="J9">
        <v>0</v>
      </c>
      <c r="K9" s="5">
        <v>92.62</v>
      </c>
      <c r="L9">
        <v>44000</v>
      </c>
      <c r="M9">
        <v>0</v>
      </c>
      <c r="N9">
        <v>11000</v>
      </c>
      <c r="O9">
        <v>1</v>
      </c>
    </row>
    <row r="10" spans="1:15" x14ac:dyDescent="0.2">
      <c r="A10" t="s">
        <v>61</v>
      </c>
      <c r="B10" t="s">
        <v>17</v>
      </c>
      <c r="C10">
        <v>75836214</v>
      </c>
      <c r="D10" t="s">
        <v>213</v>
      </c>
      <c r="E10">
        <v>48209</v>
      </c>
      <c r="F10">
        <v>73.5</v>
      </c>
      <c r="G10">
        <v>22.5</v>
      </c>
      <c r="H10">
        <v>0</v>
      </c>
      <c r="I10">
        <v>0</v>
      </c>
      <c r="J10">
        <v>0</v>
      </c>
      <c r="K10" s="5">
        <v>65.59</v>
      </c>
      <c r="L10">
        <v>7000</v>
      </c>
      <c r="M10">
        <v>0</v>
      </c>
      <c r="N10">
        <v>0</v>
      </c>
      <c r="O10">
        <v>1</v>
      </c>
    </row>
    <row r="11" spans="1:15" x14ac:dyDescent="0.2">
      <c r="A11" t="s">
        <v>77</v>
      </c>
      <c r="B11" t="s">
        <v>17</v>
      </c>
      <c r="C11">
        <v>81972344</v>
      </c>
      <c r="D11" t="s">
        <v>212</v>
      </c>
      <c r="E11">
        <v>67346</v>
      </c>
      <c r="F11">
        <v>89</v>
      </c>
      <c r="G11">
        <v>31</v>
      </c>
      <c r="H11">
        <v>0</v>
      </c>
      <c r="I11">
        <v>0</v>
      </c>
      <c r="J11">
        <v>0</v>
      </c>
      <c r="K11" s="5">
        <v>75.67</v>
      </c>
      <c r="L11">
        <v>7000</v>
      </c>
      <c r="M11">
        <v>0</v>
      </c>
      <c r="N11">
        <v>0</v>
      </c>
      <c r="O11">
        <v>1</v>
      </c>
    </row>
    <row r="12" spans="1:15" x14ac:dyDescent="0.2">
      <c r="A12" t="s">
        <v>70</v>
      </c>
      <c r="B12" t="s">
        <v>17</v>
      </c>
      <c r="C12">
        <v>79183819</v>
      </c>
      <c r="D12" t="s">
        <v>211</v>
      </c>
      <c r="E12">
        <v>48885</v>
      </c>
      <c r="F12">
        <v>72</v>
      </c>
      <c r="G12">
        <v>32</v>
      </c>
      <c r="H12">
        <v>0</v>
      </c>
      <c r="I12">
        <v>0</v>
      </c>
      <c r="J12">
        <v>0</v>
      </c>
      <c r="K12" s="5">
        <v>67.900000000000006</v>
      </c>
      <c r="L12">
        <v>7000</v>
      </c>
      <c r="M12">
        <v>0</v>
      </c>
      <c r="N12">
        <v>0</v>
      </c>
      <c r="O12">
        <v>1</v>
      </c>
    </row>
    <row r="13" spans="1:15" x14ac:dyDescent="0.2">
      <c r="A13" t="s">
        <v>68</v>
      </c>
      <c r="B13" t="s">
        <v>17</v>
      </c>
      <c r="C13">
        <v>78457139</v>
      </c>
      <c r="D13" t="s">
        <v>213</v>
      </c>
      <c r="E13">
        <v>67889</v>
      </c>
      <c r="F13">
        <v>85</v>
      </c>
      <c r="G13">
        <v>11</v>
      </c>
      <c r="H13">
        <v>0</v>
      </c>
      <c r="I13">
        <v>0</v>
      </c>
      <c r="J13">
        <v>0</v>
      </c>
      <c r="K13" s="5">
        <v>79.87</v>
      </c>
      <c r="L13">
        <v>7000</v>
      </c>
      <c r="M13">
        <v>0</v>
      </c>
      <c r="N13">
        <v>0</v>
      </c>
      <c r="O13">
        <v>1</v>
      </c>
    </row>
    <row r="14" spans="1:15" x14ac:dyDescent="0.2">
      <c r="A14" t="s">
        <v>75</v>
      </c>
      <c r="B14" t="s">
        <v>17</v>
      </c>
      <c r="C14">
        <v>81834686</v>
      </c>
      <c r="D14" t="s">
        <v>213</v>
      </c>
      <c r="E14">
        <v>41664</v>
      </c>
      <c r="F14">
        <v>60.5</v>
      </c>
      <c r="G14">
        <v>67.5</v>
      </c>
      <c r="H14">
        <v>0</v>
      </c>
      <c r="I14">
        <v>0</v>
      </c>
      <c r="J14">
        <v>0</v>
      </c>
      <c r="K14" s="5">
        <v>68.87</v>
      </c>
      <c r="L14">
        <v>7000</v>
      </c>
      <c r="M14">
        <v>0</v>
      </c>
      <c r="N14">
        <v>0</v>
      </c>
      <c r="O14">
        <v>1</v>
      </c>
    </row>
    <row r="15" spans="1:15" x14ac:dyDescent="0.2">
      <c r="A15" t="s">
        <v>83</v>
      </c>
      <c r="B15" t="s">
        <v>17</v>
      </c>
      <c r="C15">
        <v>89550780</v>
      </c>
      <c r="D15" t="s">
        <v>214</v>
      </c>
      <c r="E15">
        <v>0</v>
      </c>
      <c r="F15">
        <v>12</v>
      </c>
      <c r="G15">
        <v>72</v>
      </c>
      <c r="H15">
        <v>0</v>
      </c>
      <c r="I15">
        <v>0</v>
      </c>
      <c r="J15">
        <v>0</v>
      </c>
      <c r="K15" s="5">
        <v>0</v>
      </c>
      <c r="L15">
        <v>0</v>
      </c>
      <c r="M15">
        <v>0</v>
      </c>
      <c r="N15">
        <v>0</v>
      </c>
      <c r="O15">
        <v>1</v>
      </c>
    </row>
    <row r="16" spans="1:15" x14ac:dyDescent="0.2">
      <c r="A16" t="s">
        <v>72</v>
      </c>
      <c r="B16" t="s">
        <v>17</v>
      </c>
      <c r="C16">
        <v>79773258</v>
      </c>
      <c r="D16" t="s">
        <v>212</v>
      </c>
      <c r="E16">
        <v>73967</v>
      </c>
      <c r="F16">
        <v>72</v>
      </c>
      <c r="G16">
        <v>32</v>
      </c>
      <c r="H16">
        <v>0</v>
      </c>
      <c r="I16">
        <v>0</v>
      </c>
      <c r="J16">
        <v>0</v>
      </c>
      <c r="K16" s="5">
        <v>102.73</v>
      </c>
      <c r="L16">
        <v>68000</v>
      </c>
      <c r="M16">
        <v>0</v>
      </c>
      <c r="N16">
        <v>17000</v>
      </c>
      <c r="O16">
        <v>1</v>
      </c>
    </row>
    <row r="17" spans="1:15" x14ac:dyDescent="0.2">
      <c r="A17" t="s">
        <v>78</v>
      </c>
      <c r="B17" t="s">
        <v>17</v>
      </c>
      <c r="C17">
        <v>82543426</v>
      </c>
      <c r="D17" t="s">
        <v>212</v>
      </c>
      <c r="E17">
        <v>99031</v>
      </c>
      <c r="F17">
        <v>96.5</v>
      </c>
      <c r="G17">
        <v>23.5</v>
      </c>
      <c r="H17">
        <v>0</v>
      </c>
      <c r="I17">
        <v>0</v>
      </c>
      <c r="J17">
        <v>0</v>
      </c>
      <c r="K17" s="5">
        <v>102.62</v>
      </c>
      <c r="L17">
        <v>68000</v>
      </c>
      <c r="M17">
        <v>0</v>
      </c>
      <c r="N17">
        <v>17000</v>
      </c>
      <c r="O17">
        <v>1</v>
      </c>
    </row>
    <row r="18" spans="1:15" x14ac:dyDescent="0.2">
      <c r="A18" t="s">
        <v>87</v>
      </c>
      <c r="B18" t="s">
        <v>17</v>
      </c>
      <c r="C18">
        <v>114795728</v>
      </c>
      <c r="D18" t="s">
        <v>213</v>
      </c>
      <c r="E18">
        <v>140423</v>
      </c>
      <c r="F18">
        <v>118</v>
      </c>
      <c r="G18">
        <v>2</v>
      </c>
      <c r="H18">
        <v>0</v>
      </c>
      <c r="I18">
        <v>0</v>
      </c>
      <c r="J18">
        <v>0</v>
      </c>
      <c r="K18" s="5">
        <v>119</v>
      </c>
      <c r="L18">
        <v>68000</v>
      </c>
      <c r="M18">
        <v>0</v>
      </c>
      <c r="N18">
        <v>17000</v>
      </c>
      <c r="O18">
        <v>1</v>
      </c>
    </row>
    <row r="19" spans="1:15" x14ac:dyDescent="0.2">
      <c r="A19" t="s">
        <v>63</v>
      </c>
      <c r="B19" t="s">
        <v>17</v>
      </c>
      <c r="C19">
        <v>76814530</v>
      </c>
      <c r="D19" t="s">
        <v>213</v>
      </c>
      <c r="E19">
        <v>82049</v>
      </c>
      <c r="F19">
        <v>114.17</v>
      </c>
      <c r="G19">
        <v>5.83</v>
      </c>
      <c r="H19">
        <v>0</v>
      </c>
      <c r="I19">
        <v>0</v>
      </c>
      <c r="J19">
        <v>0</v>
      </c>
      <c r="K19" s="5">
        <v>71.87</v>
      </c>
      <c r="L19">
        <v>7000</v>
      </c>
      <c r="M19">
        <v>0</v>
      </c>
      <c r="N19">
        <v>0</v>
      </c>
      <c r="O19">
        <v>1</v>
      </c>
    </row>
    <row r="20" spans="1:15" x14ac:dyDescent="0.2">
      <c r="A20" t="s">
        <v>84</v>
      </c>
      <c r="B20" t="s">
        <v>17</v>
      </c>
      <c r="C20">
        <v>89723669</v>
      </c>
      <c r="D20" t="s">
        <v>212</v>
      </c>
      <c r="E20">
        <v>71282</v>
      </c>
      <c r="F20">
        <v>80</v>
      </c>
      <c r="G20">
        <v>16</v>
      </c>
      <c r="H20">
        <v>0</v>
      </c>
      <c r="I20">
        <v>0</v>
      </c>
      <c r="J20">
        <v>0</v>
      </c>
      <c r="K20" s="5">
        <v>89.1</v>
      </c>
      <c r="L20">
        <v>30000</v>
      </c>
      <c r="M20">
        <v>0</v>
      </c>
      <c r="N20">
        <v>7500</v>
      </c>
      <c r="O20">
        <v>1</v>
      </c>
    </row>
    <row r="21" spans="1:15" x14ac:dyDescent="0.2">
      <c r="A21" t="s">
        <v>81</v>
      </c>
      <c r="B21" t="s">
        <v>17</v>
      </c>
      <c r="C21">
        <v>87098206</v>
      </c>
      <c r="D21" t="s">
        <v>211</v>
      </c>
      <c r="E21">
        <v>0</v>
      </c>
      <c r="F21">
        <v>0</v>
      </c>
      <c r="G21">
        <v>0</v>
      </c>
      <c r="H21">
        <v>0</v>
      </c>
      <c r="I21">
        <v>0</v>
      </c>
      <c r="J21">
        <v>16</v>
      </c>
      <c r="K21" s="5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73</v>
      </c>
      <c r="B22" t="s">
        <v>17</v>
      </c>
      <c r="C22">
        <v>80058272</v>
      </c>
      <c r="D22" t="s">
        <v>213</v>
      </c>
      <c r="E22">
        <v>69614</v>
      </c>
      <c r="F22">
        <v>87</v>
      </c>
      <c r="G22">
        <v>1</v>
      </c>
      <c r="H22">
        <v>0</v>
      </c>
      <c r="I22">
        <v>0</v>
      </c>
      <c r="J22">
        <v>2</v>
      </c>
      <c r="K22" s="5">
        <v>80.02</v>
      </c>
      <c r="L22">
        <v>14000</v>
      </c>
      <c r="M22">
        <v>0</v>
      </c>
      <c r="N22">
        <v>3500</v>
      </c>
      <c r="O22">
        <v>1</v>
      </c>
    </row>
    <row r="23" spans="1:15" x14ac:dyDescent="0.2">
      <c r="A23" t="s">
        <v>71</v>
      </c>
      <c r="B23" t="s">
        <v>17</v>
      </c>
      <c r="C23">
        <v>79535115</v>
      </c>
      <c r="D23" t="s">
        <v>214</v>
      </c>
      <c r="E23">
        <v>0</v>
      </c>
      <c r="F23">
        <v>14</v>
      </c>
      <c r="G23">
        <v>114</v>
      </c>
      <c r="H23">
        <v>0</v>
      </c>
      <c r="I23">
        <v>0</v>
      </c>
      <c r="J23">
        <v>1</v>
      </c>
      <c r="K23" s="5">
        <v>0</v>
      </c>
      <c r="L23">
        <v>0</v>
      </c>
      <c r="M23">
        <v>0</v>
      </c>
      <c r="N23">
        <v>0</v>
      </c>
      <c r="O23">
        <v>1</v>
      </c>
    </row>
    <row r="24" spans="1:15" x14ac:dyDescent="0.2">
      <c r="A24" t="s">
        <v>76</v>
      </c>
      <c r="B24" t="s">
        <v>17</v>
      </c>
      <c r="C24">
        <v>81921713</v>
      </c>
      <c r="D24" t="s">
        <v>211</v>
      </c>
      <c r="E24">
        <v>83262</v>
      </c>
      <c r="F24">
        <v>104.75</v>
      </c>
      <c r="G24">
        <v>23.25</v>
      </c>
      <c r="H24">
        <v>0</v>
      </c>
      <c r="I24">
        <v>0</v>
      </c>
      <c r="J24">
        <v>0</v>
      </c>
      <c r="K24" s="5">
        <v>79.489999999999995</v>
      </c>
      <c r="L24">
        <v>7000</v>
      </c>
      <c r="M24">
        <v>0</v>
      </c>
      <c r="N24">
        <v>0</v>
      </c>
      <c r="O24">
        <v>1</v>
      </c>
    </row>
    <row r="25" spans="1:15" x14ac:dyDescent="0.2">
      <c r="A25" t="s">
        <v>64</v>
      </c>
      <c r="B25" t="s">
        <v>17</v>
      </c>
      <c r="C25">
        <v>77094067</v>
      </c>
      <c r="D25" t="s">
        <v>213</v>
      </c>
      <c r="E25">
        <v>71352</v>
      </c>
      <c r="F25">
        <v>104.5</v>
      </c>
      <c r="G25">
        <v>7.5</v>
      </c>
      <c r="H25">
        <v>0</v>
      </c>
      <c r="I25">
        <v>0</v>
      </c>
      <c r="J25">
        <v>0</v>
      </c>
      <c r="K25" s="5">
        <v>68.28</v>
      </c>
      <c r="L25">
        <v>7000</v>
      </c>
      <c r="M25">
        <v>0</v>
      </c>
      <c r="N25">
        <v>0</v>
      </c>
      <c r="O25">
        <v>1</v>
      </c>
    </row>
    <row r="26" spans="1:15" x14ac:dyDescent="0.2">
      <c r="A26" t="s">
        <v>74</v>
      </c>
      <c r="B26" t="s">
        <v>17</v>
      </c>
      <c r="C26">
        <v>80073297</v>
      </c>
      <c r="D26" t="s">
        <v>211</v>
      </c>
      <c r="E26">
        <v>57982</v>
      </c>
      <c r="F26">
        <v>86</v>
      </c>
      <c r="G26">
        <v>26</v>
      </c>
      <c r="H26">
        <v>0</v>
      </c>
      <c r="I26">
        <v>0</v>
      </c>
      <c r="J26">
        <v>0</v>
      </c>
      <c r="K26" s="5">
        <v>67.42</v>
      </c>
      <c r="L26">
        <v>7000</v>
      </c>
      <c r="M26">
        <v>0</v>
      </c>
      <c r="N26">
        <v>0</v>
      </c>
      <c r="O26">
        <v>1</v>
      </c>
    </row>
    <row r="27" spans="1:15" x14ac:dyDescent="0.2">
      <c r="A27" t="s">
        <v>62</v>
      </c>
      <c r="B27" t="s">
        <v>17</v>
      </c>
      <c r="C27">
        <v>76001341</v>
      </c>
      <c r="D27" t="s">
        <v>213</v>
      </c>
      <c r="E27">
        <v>63115</v>
      </c>
      <c r="F27">
        <v>87</v>
      </c>
      <c r="G27">
        <v>33</v>
      </c>
      <c r="H27">
        <v>0</v>
      </c>
      <c r="I27">
        <v>0</v>
      </c>
      <c r="J27">
        <v>0</v>
      </c>
      <c r="K27" s="5">
        <v>72.55</v>
      </c>
      <c r="L27">
        <v>7000</v>
      </c>
      <c r="M27">
        <v>0</v>
      </c>
      <c r="N27">
        <v>0</v>
      </c>
      <c r="O27">
        <v>1</v>
      </c>
    </row>
    <row r="28" spans="1:15" x14ac:dyDescent="0.2">
      <c r="A28" t="s">
        <v>88</v>
      </c>
      <c r="B28" t="s">
        <v>17</v>
      </c>
      <c r="C28">
        <v>121657776</v>
      </c>
      <c r="D28" t="s">
        <v>211</v>
      </c>
      <c r="E28">
        <v>74075</v>
      </c>
      <c r="F28">
        <v>92</v>
      </c>
      <c r="G28">
        <v>28</v>
      </c>
      <c r="H28">
        <v>0</v>
      </c>
      <c r="I28">
        <v>0</v>
      </c>
      <c r="J28">
        <v>0</v>
      </c>
      <c r="K28" s="5">
        <v>80.52</v>
      </c>
      <c r="L28">
        <v>14000</v>
      </c>
      <c r="M28">
        <v>0</v>
      </c>
      <c r="N28">
        <v>3500</v>
      </c>
      <c r="O28">
        <v>1</v>
      </c>
    </row>
    <row r="29" spans="1:15" x14ac:dyDescent="0.2">
      <c r="A29" t="s">
        <v>89</v>
      </c>
      <c r="B29" t="s">
        <v>17</v>
      </c>
      <c r="C29">
        <v>127644402</v>
      </c>
      <c r="D29" t="s">
        <v>213</v>
      </c>
      <c r="E29">
        <v>64572</v>
      </c>
      <c r="F29">
        <v>94.83</v>
      </c>
      <c r="G29">
        <v>25.17</v>
      </c>
      <c r="H29">
        <v>0</v>
      </c>
      <c r="I29">
        <v>0</v>
      </c>
      <c r="J29">
        <v>0</v>
      </c>
      <c r="K29" s="5">
        <v>68.09</v>
      </c>
      <c r="L29">
        <v>7000</v>
      </c>
      <c r="M29">
        <v>0</v>
      </c>
      <c r="N29">
        <v>0</v>
      </c>
      <c r="O29">
        <v>1</v>
      </c>
    </row>
    <row r="30" spans="1:15" x14ac:dyDescent="0.2">
      <c r="A30" t="s">
        <v>58</v>
      </c>
      <c r="B30" t="s">
        <v>17</v>
      </c>
      <c r="C30">
        <v>73454913</v>
      </c>
      <c r="D30" t="s">
        <v>211</v>
      </c>
      <c r="E30">
        <v>96453</v>
      </c>
      <c r="F30">
        <v>99</v>
      </c>
      <c r="G30">
        <v>21</v>
      </c>
      <c r="H30">
        <v>0</v>
      </c>
      <c r="I30">
        <v>0</v>
      </c>
      <c r="J30">
        <v>0</v>
      </c>
      <c r="K30" s="5">
        <v>97.43</v>
      </c>
      <c r="L30">
        <v>54000</v>
      </c>
      <c r="M30">
        <v>0</v>
      </c>
      <c r="N30">
        <v>13500</v>
      </c>
      <c r="O30">
        <v>1</v>
      </c>
    </row>
    <row r="31" spans="1:15" x14ac:dyDescent="0.2">
      <c r="A31" t="s">
        <v>66</v>
      </c>
      <c r="B31" t="s">
        <v>17</v>
      </c>
      <c r="C31">
        <v>78121546</v>
      </c>
      <c r="D31" t="s">
        <v>212</v>
      </c>
      <c r="E31">
        <v>98647</v>
      </c>
      <c r="F31">
        <v>95.5</v>
      </c>
      <c r="G31">
        <v>8.5</v>
      </c>
      <c r="H31">
        <v>0</v>
      </c>
      <c r="I31">
        <v>0</v>
      </c>
      <c r="J31">
        <v>0</v>
      </c>
      <c r="K31" s="5">
        <v>103.3</v>
      </c>
      <c r="L31">
        <v>68000</v>
      </c>
      <c r="M31">
        <v>0</v>
      </c>
      <c r="N31">
        <v>17000</v>
      </c>
      <c r="O31">
        <v>1</v>
      </c>
    </row>
    <row r="32" spans="1:15" x14ac:dyDescent="0.2">
      <c r="A32" t="s">
        <v>79</v>
      </c>
      <c r="B32" t="s">
        <v>17</v>
      </c>
      <c r="C32">
        <v>84117791</v>
      </c>
      <c r="D32" t="s">
        <v>213</v>
      </c>
      <c r="E32">
        <v>25935</v>
      </c>
      <c r="F32">
        <v>44</v>
      </c>
      <c r="G32">
        <v>36</v>
      </c>
      <c r="H32">
        <v>0</v>
      </c>
      <c r="I32">
        <v>0</v>
      </c>
      <c r="J32">
        <v>5</v>
      </c>
      <c r="K32" s="5">
        <v>58.94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59</v>
      </c>
      <c r="B33" t="s">
        <v>17</v>
      </c>
      <c r="C33">
        <v>73707439</v>
      </c>
      <c r="D33" t="s">
        <v>211</v>
      </c>
      <c r="E33">
        <v>86526</v>
      </c>
      <c r="F33">
        <v>115</v>
      </c>
      <c r="G33">
        <v>13</v>
      </c>
      <c r="H33">
        <v>0</v>
      </c>
      <c r="I33">
        <v>0</v>
      </c>
      <c r="J33">
        <v>0</v>
      </c>
      <c r="K33" s="5">
        <v>75.239999999999995</v>
      </c>
      <c r="L33">
        <v>7000</v>
      </c>
      <c r="M33">
        <v>0</v>
      </c>
      <c r="N33">
        <v>0</v>
      </c>
      <c r="O33">
        <v>1</v>
      </c>
    </row>
    <row r="34" spans="1:15" x14ac:dyDescent="0.2">
      <c r="A34" t="s">
        <v>95</v>
      </c>
      <c r="B34" t="s">
        <v>18</v>
      </c>
      <c r="C34">
        <v>76271951</v>
      </c>
      <c r="D34" t="s">
        <v>211</v>
      </c>
      <c r="E34">
        <v>64405</v>
      </c>
      <c r="F34">
        <v>95</v>
      </c>
      <c r="G34">
        <v>17</v>
      </c>
      <c r="H34">
        <v>0</v>
      </c>
      <c r="I34">
        <v>0</v>
      </c>
      <c r="J34">
        <v>0</v>
      </c>
      <c r="K34" s="5">
        <v>67.790000000000006</v>
      </c>
      <c r="L34">
        <v>7000</v>
      </c>
      <c r="M34">
        <v>0</v>
      </c>
      <c r="N34">
        <v>0</v>
      </c>
      <c r="O34">
        <v>1</v>
      </c>
    </row>
    <row r="35" spans="1:15" x14ac:dyDescent="0.2">
      <c r="A35" t="s">
        <v>114</v>
      </c>
      <c r="B35" t="s">
        <v>18</v>
      </c>
      <c r="C35">
        <v>85650156</v>
      </c>
      <c r="D35" t="s">
        <v>211</v>
      </c>
      <c r="E35">
        <v>94311</v>
      </c>
      <c r="F35">
        <v>111.5</v>
      </c>
      <c r="G35">
        <v>8.5</v>
      </c>
      <c r="H35">
        <v>0</v>
      </c>
      <c r="I35">
        <v>0</v>
      </c>
      <c r="J35">
        <v>0</v>
      </c>
      <c r="K35" s="5">
        <v>84.58</v>
      </c>
      <c r="L35">
        <v>14000</v>
      </c>
      <c r="M35">
        <v>0</v>
      </c>
      <c r="N35">
        <v>3500</v>
      </c>
      <c r="O35">
        <v>1</v>
      </c>
    </row>
    <row r="36" spans="1:15" x14ac:dyDescent="0.2">
      <c r="A36" t="s">
        <v>100</v>
      </c>
      <c r="B36" t="s">
        <v>18</v>
      </c>
      <c r="C36">
        <v>77915104</v>
      </c>
      <c r="D36" t="s">
        <v>211</v>
      </c>
      <c r="E36">
        <v>55443</v>
      </c>
      <c r="F36">
        <v>100</v>
      </c>
      <c r="G36">
        <v>4</v>
      </c>
      <c r="H36">
        <v>0</v>
      </c>
      <c r="I36">
        <v>0</v>
      </c>
      <c r="J36">
        <v>0</v>
      </c>
      <c r="K36" s="5">
        <v>55.44</v>
      </c>
      <c r="L36">
        <v>7000</v>
      </c>
      <c r="M36">
        <v>0</v>
      </c>
      <c r="N36">
        <v>0</v>
      </c>
      <c r="O36">
        <v>1</v>
      </c>
    </row>
    <row r="37" spans="1:15" x14ac:dyDescent="0.2">
      <c r="A37" t="s">
        <v>109</v>
      </c>
      <c r="B37" t="s">
        <v>18</v>
      </c>
      <c r="C37">
        <v>81174256</v>
      </c>
      <c r="D37" t="s">
        <v>211</v>
      </c>
      <c r="E37">
        <v>78245</v>
      </c>
      <c r="F37">
        <v>97.5</v>
      </c>
      <c r="G37">
        <v>14.5</v>
      </c>
      <c r="H37">
        <v>0</v>
      </c>
      <c r="I37">
        <v>0</v>
      </c>
      <c r="J37">
        <v>1</v>
      </c>
      <c r="K37" s="5">
        <v>80.25</v>
      </c>
      <c r="L37">
        <v>14000</v>
      </c>
      <c r="M37">
        <v>0</v>
      </c>
      <c r="N37">
        <v>3500</v>
      </c>
      <c r="O37">
        <v>1</v>
      </c>
    </row>
    <row r="38" spans="1:15" x14ac:dyDescent="0.2">
      <c r="A38" t="s">
        <v>113</v>
      </c>
      <c r="B38" t="s">
        <v>18</v>
      </c>
      <c r="C38">
        <v>84812166</v>
      </c>
      <c r="D38" t="s">
        <v>211</v>
      </c>
      <c r="E38">
        <v>17511</v>
      </c>
      <c r="F38">
        <v>29.75</v>
      </c>
      <c r="G38">
        <v>2.25</v>
      </c>
      <c r="H38">
        <v>0</v>
      </c>
      <c r="I38">
        <v>0</v>
      </c>
      <c r="J38">
        <v>12</v>
      </c>
      <c r="K38" s="5">
        <v>58.86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118</v>
      </c>
      <c r="B39" t="s">
        <v>18</v>
      </c>
      <c r="C39">
        <v>91642372</v>
      </c>
      <c r="D39" t="s">
        <v>211</v>
      </c>
      <c r="E39">
        <v>62684</v>
      </c>
      <c r="F39">
        <v>95</v>
      </c>
      <c r="G39">
        <v>1</v>
      </c>
      <c r="H39">
        <v>0</v>
      </c>
      <c r="I39">
        <v>0</v>
      </c>
      <c r="J39">
        <v>0</v>
      </c>
      <c r="K39" s="5">
        <v>65.98</v>
      </c>
      <c r="L39">
        <v>7000</v>
      </c>
      <c r="M39">
        <v>0</v>
      </c>
      <c r="N39">
        <v>0</v>
      </c>
      <c r="O39">
        <v>1</v>
      </c>
    </row>
    <row r="40" spans="1:15" x14ac:dyDescent="0.2">
      <c r="A40" t="s">
        <v>105</v>
      </c>
      <c r="B40" t="s">
        <v>18</v>
      </c>
      <c r="C40">
        <v>80053765</v>
      </c>
      <c r="D40" t="s">
        <v>213</v>
      </c>
      <c r="E40">
        <v>67645</v>
      </c>
      <c r="F40">
        <v>115</v>
      </c>
      <c r="G40">
        <v>5</v>
      </c>
      <c r="H40">
        <v>0</v>
      </c>
      <c r="I40">
        <v>0</v>
      </c>
      <c r="J40">
        <v>0</v>
      </c>
      <c r="K40" s="5">
        <v>58.82</v>
      </c>
      <c r="L40">
        <v>7000</v>
      </c>
      <c r="M40">
        <v>0</v>
      </c>
      <c r="N40">
        <v>0</v>
      </c>
      <c r="O40">
        <v>1</v>
      </c>
    </row>
    <row r="41" spans="1:15" x14ac:dyDescent="0.2">
      <c r="A41" t="s">
        <v>98</v>
      </c>
      <c r="B41" t="s">
        <v>18</v>
      </c>
      <c r="C41">
        <v>77527725</v>
      </c>
      <c r="D41" t="s">
        <v>211</v>
      </c>
      <c r="E41">
        <v>20663</v>
      </c>
      <c r="F41">
        <v>22</v>
      </c>
      <c r="G41">
        <v>2</v>
      </c>
      <c r="H41">
        <v>0</v>
      </c>
      <c r="I41">
        <v>0</v>
      </c>
      <c r="J41">
        <v>17</v>
      </c>
      <c r="K41" s="5">
        <v>93.92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119</v>
      </c>
      <c r="B42" t="s">
        <v>18</v>
      </c>
      <c r="C42">
        <v>108022715</v>
      </c>
      <c r="D42" t="s">
        <v>211</v>
      </c>
      <c r="E42">
        <v>81153</v>
      </c>
      <c r="F42">
        <v>101</v>
      </c>
      <c r="G42">
        <v>27</v>
      </c>
      <c r="H42">
        <v>0</v>
      </c>
      <c r="I42">
        <v>0</v>
      </c>
      <c r="J42">
        <v>0</v>
      </c>
      <c r="K42" s="5">
        <v>80.349999999999994</v>
      </c>
      <c r="L42">
        <v>14000</v>
      </c>
      <c r="M42">
        <v>0</v>
      </c>
      <c r="N42">
        <v>3500</v>
      </c>
      <c r="O42">
        <v>1</v>
      </c>
    </row>
    <row r="43" spans="1:15" x14ac:dyDescent="0.2">
      <c r="A43" t="s">
        <v>90</v>
      </c>
      <c r="B43" t="s">
        <v>18</v>
      </c>
      <c r="C43">
        <v>67798634</v>
      </c>
      <c r="D43" t="s">
        <v>213</v>
      </c>
      <c r="E43">
        <v>59454</v>
      </c>
      <c r="F43">
        <v>95</v>
      </c>
      <c r="G43">
        <v>9</v>
      </c>
      <c r="H43">
        <v>0</v>
      </c>
      <c r="I43">
        <v>0</v>
      </c>
      <c r="J43">
        <v>0</v>
      </c>
      <c r="K43" s="5">
        <v>62.58</v>
      </c>
      <c r="L43">
        <v>7000</v>
      </c>
      <c r="M43">
        <v>0</v>
      </c>
      <c r="N43">
        <v>0</v>
      </c>
      <c r="O43">
        <v>1</v>
      </c>
    </row>
    <row r="44" spans="1:15" x14ac:dyDescent="0.2">
      <c r="A44" t="s">
        <v>91</v>
      </c>
      <c r="B44" t="s">
        <v>18</v>
      </c>
      <c r="C44">
        <v>72763120</v>
      </c>
      <c r="D44" t="s">
        <v>211</v>
      </c>
      <c r="E44">
        <v>115864</v>
      </c>
      <c r="F44">
        <v>115</v>
      </c>
      <c r="G44">
        <v>5</v>
      </c>
      <c r="H44">
        <v>0</v>
      </c>
      <c r="I44">
        <v>0</v>
      </c>
      <c r="J44">
        <v>0</v>
      </c>
      <c r="K44" s="5">
        <v>100.75</v>
      </c>
      <c r="L44">
        <v>68000</v>
      </c>
      <c r="M44">
        <v>0</v>
      </c>
      <c r="N44">
        <v>17000</v>
      </c>
      <c r="O44">
        <v>1</v>
      </c>
    </row>
    <row r="45" spans="1:15" x14ac:dyDescent="0.2">
      <c r="A45" t="s">
        <v>104</v>
      </c>
      <c r="B45" t="s">
        <v>18</v>
      </c>
      <c r="C45">
        <v>79941149</v>
      </c>
      <c r="D45" t="s">
        <v>211</v>
      </c>
      <c r="E45">
        <v>72286</v>
      </c>
      <c r="F45">
        <v>88.5</v>
      </c>
      <c r="G45">
        <v>15.5</v>
      </c>
      <c r="H45">
        <v>0</v>
      </c>
      <c r="I45">
        <v>0</v>
      </c>
      <c r="J45">
        <v>1</v>
      </c>
      <c r="K45" s="5">
        <v>81.680000000000007</v>
      </c>
      <c r="L45">
        <v>14000</v>
      </c>
      <c r="M45">
        <v>0</v>
      </c>
      <c r="N45">
        <v>3500</v>
      </c>
      <c r="O45">
        <v>1</v>
      </c>
    </row>
    <row r="46" spans="1:15" x14ac:dyDescent="0.2">
      <c r="A46" t="s">
        <v>92</v>
      </c>
      <c r="B46" t="s">
        <v>18</v>
      </c>
      <c r="C46">
        <v>74772490</v>
      </c>
      <c r="D46" t="s">
        <v>211</v>
      </c>
      <c r="E46">
        <v>81318</v>
      </c>
      <c r="F46">
        <v>94.75</v>
      </c>
      <c r="G46">
        <v>9.25</v>
      </c>
      <c r="H46">
        <v>0</v>
      </c>
      <c r="I46">
        <v>0</v>
      </c>
      <c r="J46">
        <v>0</v>
      </c>
      <c r="K46" s="5">
        <v>85.82</v>
      </c>
      <c r="L46">
        <v>30000</v>
      </c>
      <c r="M46">
        <v>0</v>
      </c>
      <c r="N46">
        <v>7500</v>
      </c>
      <c r="O46">
        <v>1</v>
      </c>
    </row>
    <row r="47" spans="1:15" x14ac:dyDescent="0.2">
      <c r="A47" t="s">
        <v>117</v>
      </c>
      <c r="B47" t="s">
        <v>18</v>
      </c>
      <c r="C47">
        <v>91206181</v>
      </c>
      <c r="D47" t="s">
        <v>213</v>
      </c>
      <c r="E47">
        <v>54547</v>
      </c>
      <c r="F47">
        <v>107</v>
      </c>
      <c r="G47">
        <v>13</v>
      </c>
      <c r="H47">
        <v>0</v>
      </c>
      <c r="I47">
        <v>0</v>
      </c>
      <c r="J47">
        <v>0</v>
      </c>
      <c r="K47" s="5">
        <v>50.98</v>
      </c>
      <c r="L47">
        <v>7000</v>
      </c>
      <c r="M47">
        <v>0</v>
      </c>
      <c r="N47">
        <v>0</v>
      </c>
      <c r="O47">
        <v>1</v>
      </c>
    </row>
    <row r="48" spans="1:15" x14ac:dyDescent="0.2">
      <c r="A48" t="s">
        <v>101</v>
      </c>
      <c r="B48" t="s">
        <v>18</v>
      </c>
      <c r="C48">
        <v>78825866</v>
      </c>
      <c r="D48" t="s">
        <v>211</v>
      </c>
      <c r="E48">
        <v>35623</v>
      </c>
      <c r="F48">
        <v>53.75</v>
      </c>
      <c r="G48">
        <v>10.25</v>
      </c>
      <c r="H48">
        <v>0</v>
      </c>
      <c r="I48">
        <v>0</v>
      </c>
      <c r="J48">
        <v>7</v>
      </c>
      <c r="K48" s="5">
        <v>66.28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103</v>
      </c>
      <c r="B49" t="s">
        <v>18</v>
      </c>
      <c r="C49">
        <v>79856322</v>
      </c>
      <c r="D49" t="s">
        <v>211</v>
      </c>
      <c r="E49">
        <v>67482</v>
      </c>
      <c r="F49">
        <v>111</v>
      </c>
      <c r="G49">
        <v>1</v>
      </c>
      <c r="H49">
        <v>0</v>
      </c>
      <c r="I49">
        <v>0</v>
      </c>
      <c r="J49">
        <v>0</v>
      </c>
      <c r="K49" s="5">
        <v>60.79</v>
      </c>
      <c r="L49">
        <v>7000</v>
      </c>
      <c r="M49">
        <v>0</v>
      </c>
      <c r="N49">
        <v>0</v>
      </c>
      <c r="O49">
        <v>1</v>
      </c>
    </row>
    <row r="50" spans="1:15" x14ac:dyDescent="0.2">
      <c r="A50" t="s">
        <v>94</v>
      </c>
      <c r="B50" t="s">
        <v>18</v>
      </c>
      <c r="C50">
        <v>76079812</v>
      </c>
      <c r="D50" t="s">
        <v>211</v>
      </c>
      <c r="E50">
        <v>73773</v>
      </c>
      <c r="F50">
        <v>91.5</v>
      </c>
      <c r="G50">
        <v>20.5</v>
      </c>
      <c r="H50">
        <v>0</v>
      </c>
      <c r="I50">
        <v>0</v>
      </c>
      <c r="J50">
        <v>0</v>
      </c>
      <c r="K50" s="5">
        <v>80.63</v>
      </c>
      <c r="L50">
        <v>14000</v>
      </c>
      <c r="M50">
        <v>0</v>
      </c>
      <c r="N50">
        <v>3500</v>
      </c>
      <c r="O50">
        <v>1</v>
      </c>
    </row>
    <row r="51" spans="1:15" x14ac:dyDescent="0.2">
      <c r="A51" t="s">
        <v>116</v>
      </c>
      <c r="B51" t="s">
        <v>18</v>
      </c>
      <c r="C51">
        <v>89727753</v>
      </c>
      <c r="D51" t="s">
        <v>212</v>
      </c>
      <c r="E51">
        <v>52335</v>
      </c>
      <c r="F51">
        <v>80</v>
      </c>
      <c r="G51">
        <v>24</v>
      </c>
      <c r="H51">
        <v>0</v>
      </c>
      <c r="I51">
        <v>0</v>
      </c>
      <c r="J51">
        <v>0</v>
      </c>
      <c r="K51" s="5">
        <v>65.42</v>
      </c>
      <c r="L51">
        <v>7000</v>
      </c>
      <c r="M51">
        <v>0</v>
      </c>
      <c r="N51">
        <v>0</v>
      </c>
      <c r="O51">
        <v>1</v>
      </c>
    </row>
    <row r="52" spans="1:15" x14ac:dyDescent="0.2">
      <c r="A52" t="s">
        <v>110</v>
      </c>
      <c r="B52" t="s">
        <v>18</v>
      </c>
      <c r="C52">
        <v>81460885</v>
      </c>
      <c r="D52" t="s">
        <v>211</v>
      </c>
      <c r="E52">
        <v>90063</v>
      </c>
      <c r="F52">
        <v>103</v>
      </c>
      <c r="G52">
        <v>25</v>
      </c>
      <c r="H52">
        <v>0</v>
      </c>
      <c r="I52">
        <v>0</v>
      </c>
      <c r="J52">
        <v>0</v>
      </c>
      <c r="K52" s="5">
        <v>87.44</v>
      </c>
      <c r="L52">
        <v>30000</v>
      </c>
      <c r="M52">
        <v>0</v>
      </c>
      <c r="N52">
        <v>7500</v>
      </c>
      <c r="O52">
        <v>1</v>
      </c>
    </row>
    <row r="53" spans="1:15" x14ac:dyDescent="0.2">
      <c r="A53" t="s">
        <v>111</v>
      </c>
      <c r="B53" t="s">
        <v>18</v>
      </c>
      <c r="C53">
        <v>83616514</v>
      </c>
      <c r="D53" t="s">
        <v>212</v>
      </c>
      <c r="E53">
        <v>49686</v>
      </c>
      <c r="F53">
        <v>49</v>
      </c>
      <c r="G53">
        <v>47</v>
      </c>
      <c r="H53">
        <v>0</v>
      </c>
      <c r="I53">
        <v>0</v>
      </c>
      <c r="J53">
        <v>0</v>
      </c>
      <c r="K53" s="5">
        <v>101.4</v>
      </c>
      <c r="L53">
        <v>68000</v>
      </c>
      <c r="M53">
        <v>0</v>
      </c>
      <c r="N53">
        <v>17000</v>
      </c>
      <c r="O53">
        <v>1</v>
      </c>
    </row>
    <row r="54" spans="1:15" x14ac:dyDescent="0.2">
      <c r="A54" t="s">
        <v>97</v>
      </c>
      <c r="B54" t="s">
        <v>18</v>
      </c>
      <c r="C54">
        <v>77493312</v>
      </c>
      <c r="D54" t="s">
        <v>211</v>
      </c>
      <c r="E54">
        <v>0</v>
      </c>
      <c r="F54">
        <v>0</v>
      </c>
      <c r="G54">
        <v>0</v>
      </c>
      <c r="H54">
        <v>0</v>
      </c>
      <c r="I54">
        <v>0</v>
      </c>
      <c r="J54">
        <v>20</v>
      </c>
      <c r="K54" s="5">
        <v>0</v>
      </c>
      <c r="L54">
        <v>0</v>
      </c>
      <c r="M54">
        <v>0</v>
      </c>
      <c r="N54">
        <v>0</v>
      </c>
      <c r="O54">
        <v>0</v>
      </c>
    </row>
    <row r="55" spans="1:15" x14ac:dyDescent="0.2">
      <c r="A55" t="s">
        <v>112</v>
      </c>
      <c r="B55" t="s">
        <v>18</v>
      </c>
      <c r="C55">
        <v>84656980</v>
      </c>
      <c r="D55" t="s">
        <v>211</v>
      </c>
      <c r="E55">
        <v>52476</v>
      </c>
      <c r="F55">
        <v>80.5</v>
      </c>
      <c r="G55">
        <v>34.5</v>
      </c>
      <c r="H55">
        <v>0</v>
      </c>
      <c r="I55">
        <v>0</v>
      </c>
      <c r="J55">
        <v>0</v>
      </c>
      <c r="K55" s="5">
        <v>65.19</v>
      </c>
      <c r="L55">
        <v>7000</v>
      </c>
      <c r="M55">
        <v>0</v>
      </c>
      <c r="N55">
        <v>0</v>
      </c>
      <c r="O55">
        <v>1</v>
      </c>
    </row>
    <row r="56" spans="1:15" x14ac:dyDescent="0.2">
      <c r="A56" t="s">
        <v>108</v>
      </c>
      <c r="B56" t="s">
        <v>18</v>
      </c>
      <c r="C56">
        <v>80896582</v>
      </c>
      <c r="D56" t="s">
        <v>211</v>
      </c>
      <c r="E56">
        <v>58666</v>
      </c>
      <c r="F56">
        <v>98</v>
      </c>
      <c r="G56">
        <v>6</v>
      </c>
      <c r="H56">
        <v>0</v>
      </c>
      <c r="I56">
        <v>0</v>
      </c>
      <c r="J56">
        <v>0</v>
      </c>
      <c r="K56" s="5">
        <v>59.86</v>
      </c>
      <c r="L56">
        <v>7000</v>
      </c>
      <c r="M56">
        <v>0</v>
      </c>
      <c r="N56">
        <v>0</v>
      </c>
      <c r="O56">
        <v>1</v>
      </c>
    </row>
    <row r="57" spans="1:15" x14ac:dyDescent="0.2">
      <c r="A57" t="s">
        <v>99</v>
      </c>
      <c r="B57" t="s">
        <v>18</v>
      </c>
      <c r="C57">
        <v>77819679</v>
      </c>
      <c r="D57" t="s">
        <v>211</v>
      </c>
      <c r="E57">
        <v>47038</v>
      </c>
      <c r="F57">
        <v>87.25</v>
      </c>
      <c r="G57">
        <v>24.75</v>
      </c>
      <c r="H57">
        <v>0</v>
      </c>
      <c r="I57">
        <v>0</v>
      </c>
      <c r="J57">
        <v>0</v>
      </c>
      <c r="K57" s="5">
        <v>53.91</v>
      </c>
      <c r="L57">
        <v>7000</v>
      </c>
      <c r="M57">
        <v>0</v>
      </c>
      <c r="N57">
        <v>0</v>
      </c>
      <c r="O57">
        <v>1</v>
      </c>
    </row>
    <row r="58" spans="1:15" x14ac:dyDescent="0.2">
      <c r="A58" t="s">
        <v>93</v>
      </c>
      <c r="B58" t="s">
        <v>18</v>
      </c>
      <c r="C58">
        <v>75567336</v>
      </c>
      <c r="D58" t="s">
        <v>211</v>
      </c>
      <c r="E58">
        <v>79396</v>
      </c>
      <c r="F58">
        <v>87</v>
      </c>
      <c r="G58">
        <v>9</v>
      </c>
      <c r="H58">
        <v>0</v>
      </c>
      <c r="I58">
        <v>0</v>
      </c>
      <c r="J58">
        <v>0</v>
      </c>
      <c r="K58" s="5">
        <v>91.26</v>
      </c>
      <c r="L58">
        <v>44000</v>
      </c>
      <c r="M58">
        <v>0</v>
      </c>
      <c r="N58">
        <v>11000</v>
      </c>
      <c r="O58">
        <v>1</v>
      </c>
    </row>
    <row r="59" spans="1:15" x14ac:dyDescent="0.2">
      <c r="A59" t="s">
        <v>115</v>
      </c>
      <c r="B59" t="s">
        <v>18</v>
      </c>
      <c r="C59">
        <v>85970830</v>
      </c>
      <c r="D59" t="s">
        <v>212</v>
      </c>
      <c r="E59">
        <v>55398</v>
      </c>
      <c r="F59">
        <v>78.75</v>
      </c>
      <c r="G59">
        <v>25.25</v>
      </c>
      <c r="H59">
        <v>0</v>
      </c>
      <c r="I59">
        <v>0</v>
      </c>
      <c r="J59">
        <v>0</v>
      </c>
      <c r="K59" s="5">
        <v>70.349999999999994</v>
      </c>
      <c r="L59">
        <v>7000</v>
      </c>
      <c r="M59">
        <v>0</v>
      </c>
      <c r="N59">
        <v>0</v>
      </c>
      <c r="O59">
        <v>1</v>
      </c>
    </row>
    <row r="60" spans="1:15" x14ac:dyDescent="0.2">
      <c r="A60" t="s">
        <v>107</v>
      </c>
      <c r="B60" t="s">
        <v>18</v>
      </c>
      <c r="C60">
        <v>80823425</v>
      </c>
      <c r="D60" t="s">
        <v>211</v>
      </c>
      <c r="E60">
        <v>35643</v>
      </c>
      <c r="F60">
        <v>76</v>
      </c>
      <c r="G60">
        <v>44</v>
      </c>
      <c r="H60">
        <v>0</v>
      </c>
      <c r="I60">
        <v>0</v>
      </c>
      <c r="J60">
        <v>0</v>
      </c>
      <c r="K60" s="5">
        <v>46.9</v>
      </c>
      <c r="L60">
        <v>7000</v>
      </c>
      <c r="M60">
        <v>0</v>
      </c>
      <c r="N60">
        <v>0</v>
      </c>
      <c r="O60">
        <v>1</v>
      </c>
    </row>
    <row r="61" spans="1:15" x14ac:dyDescent="0.2">
      <c r="A61" t="s">
        <v>96</v>
      </c>
      <c r="B61" t="s">
        <v>18</v>
      </c>
      <c r="C61">
        <v>76519259</v>
      </c>
      <c r="D61" t="s">
        <v>211</v>
      </c>
      <c r="E61">
        <v>64189</v>
      </c>
      <c r="F61">
        <v>91.25</v>
      </c>
      <c r="G61">
        <v>20.75</v>
      </c>
      <c r="H61">
        <v>0</v>
      </c>
      <c r="I61">
        <v>0</v>
      </c>
      <c r="J61">
        <v>0</v>
      </c>
      <c r="K61" s="5">
        <v>70.34</v>
      </c>
      <c r="L61">
        <v>7000</v>
      </c>
      <c r="M61">
        <v>0</v>
      </c>
      <c r="N61">
        <v>0</v>
      </c>
      <c r="O61">
        <v>1</v>
      </c>
    </row>
    <row r="62" spans="1:15" x14ac:dyDescent="0.2">
      <c r="A62" t="s">
        <v>120</v>
      </c>
      <c r="B62" t="s">
        <v>18</v>
      </c>
      <c r="C62">
        <v>114363789</v>
      </c>
      <c r="D62" t="s">
        <v>211</v>
      </c>
      <c r="E62">
        <v>22914</v>
      </c>
      <c r="F62">
        <v>37</v>
      </c>
      <c r="G62">
        <v>5</v>
      </c>
      <c r="H62">
        <v>0</v>
      </c>
      <c r="I62">
        <v>0</v>
      </c>
      <c r="J62">
        <v>9</v>
      </c>
      <c r="K62" s="5">
        <v>61.93</v>
      </c>
      <c r="L62">
        <v>0</v>
      </c>
      <c r="M62">
        <v>0</v>
      </c>
      <c r="N62">
        <v>0</v>
      </c>
      <c r="O62">
        <v>0</v>
      </c>
    </row>
    <row r="63" spans="1:15" x14ac:dyDescent="0.2">
      <c r="A63" t="s">
        <v>102</v>
      </c>
      <c r="B63" t="s">
        <v>18</v>
      </c>
      <c r="C63">
        <v>79720056</v>
      </c>
      <c r="D63" t="s">
        <v>213</v>
      </c>
      <c r="E63">
        <v>48874</v>
      </c>
      <c r="F63">
        <v>95.5</v>
      </c>
      <c r="G63">
        <v>16.5</v>
      </c>
      <c r="H63">
        <v>0</v>
      </c>
      <c r="I63">
        <v>0</v>
      </c>
      <c r="J63">
        <v>0</v>
      </c>
      <c r="K63" s="5">
        <v>51.18</v>
      </c>
      <c r="L63">
        <v>7000</v>
      </c>
      <c r="M63">
        <v>0</v>
      </c>
      <c r="N63">
        <v>0</v>
      </c>
      <c r="O63">
        <v>1</v>
      </c>
    </row>
    <row r="64" spans="1:15" x14ac:dyDescent="0.2">
      <c r="A64" t="s">
        <v>106</v>
      </c>
      <c r="B64" t="s">
        <v>18</v>
      </c>
      <c r="C64">
        <v>80435541</v>
      </c>
      <c r="D64" t="s">
        <v>211</v>
      </c>
      <c r="E64">
        <v>77229</v>
      </c>
      <c r="F64">
        <v>83.5</v>
      </c>
      <c r="G64">
        <v>20.5</v>
      </c>
      <c r="H64">
        <v>0</v>
      </c>
      <c r="I64">
        <v>0</v>
      </c>
      <c r="J64">
        <v>0</v>
      </c>
      <c r="K64" s="5">
        <v>92.49</v>
      </c>
      <c r="L64">
        <v>44000</v>
      </c>
      <c r="M64">
        <v>0</v>
      </c>
      <c r="N64">
        <v>11000</v>
      </c>
      <c r="O64">
        <v>1</v>
      </c>
    </row>
    <row r="65" spans="1:15" x14ac:dyDescent="0.2">
      <c r="A65" t="s">
        <v>138</v>
      </c>
      <c r="B65" t="s">
        <v>19</v>
      </c>
      <c r="C65">
        <v>84354521</v>
      </c>
      <c r="D65" t="s">
        <v>211</v>
      </c>
      <c r="E65">
        <v>127257</v>
      </c>
      <c r="F65">
        <v>124.75</v>
      </c>
      <c r="G65">
        <v>3.25</v>
      </c>
      <c r="H65">
        <v>0</v>
      </c>
      <c r="I65">
        <v>0</v>
      </c>
      <c r="J65">
        <v>0</v>
      </c>
      <c r="K65" s="5">
        <v>102.01</v>
      </c>
      <c r="L65">
        <v>68000</v>
      </c>
      <c r="M65">
        <v>0</v>
      </c>
      <c r="N65">
        <v>17000</v>
      </c>
      <c r="O65">
        <v>1</v>
      </c>
    </row>
    <row r="66" spans="1:15" x14ac:dyDescent="0.2">
      <c r="A66" t="s">
        <v>146</v>
      </c>
      <c r="B66" t="s">
        <v>19</v>
      </c>
      <c r="C66">
        <v>90016431</v>
      </c>
      <c r="D66" t="s">
        <v>212</v>
      </c>
      <c r="E66">
        <v>82396</v>
      </c>
      <c r="F66">
        <v>90.5</v>
      </c>
      <c r="G66">
        <v>29.5</v>
      </c>
      <c r="H66">
        <v>0</v>
      </c>
      <c r="I66">
        <v>0</v>
      </c>
      <c r="J66">
        <v>0</v>
      </c>
      <c r="K66" s="5">
        <v>91.05</v>
      </c>
      <c r="L66">
        <v>44000</v>
      </c>
      <c r="M66">
        <v>0</v>
      </c>
      <c r="N66">
        <v>11000</v>
      </c>
      <c r="O66">
        <v>1</v>
      </c>
    </row>
    <row r="67" spans="1:15" x14ac:dyDescent="0.2">
      <c r="A67" t="s">
        <v>126</v>
      </c>
      <c r="B67" t="s">
        <v>19</v>
      </c>
      <c r="C67">
        <v>78016730</v>
      </c>
      <c r="D67" t="s">
        <v>213</v>
      </c>
      <c r="E67">
        <v>66234</v>
      </c>
      <c r="F67">
        <v>115.59</v>
      </c>
      <c r="G67">
        <v>4.41</v>
      </c>
      <c r="H67">
        <v>0</v>
      </c>
      <c r="I67">
        <v>0</v>
      </c>
      <c r="J67">
        <v>0</v>
      </c>
      <c r="K67" s="5">
        <v>57.3</v>
      </c>
      <c r="L67">
        <v>7000</v>
      </c>
      <c r="M67">
        <v>0</v>
      </c>
      <c r="N67">
        <v>0</v>
      </c>
      <c r="O67">
        <v>1</v>
      </c>
    </row>
    <row r="68" spans="1:15" x14ac:dyDescent="0.2">
      <c r="A68" t="s">
        <v>137</v>
      </c>
      <c r="B68" t="s">
        <v>19</v>
      </c>
      <c r="C68">
        <v>83578681</v>
      </c>
      <c r="D68" t="s">
        <v>211</v>
      </c>
      <c r="E68">
        <v>56834</v>
      </c>
      <c r="F68">
        <v>79.83</v>
      </c>
      <c r="G68">
        <v>24.17</v>
      </c>
      <c r="H68">
        <v>0</v>
      </c>
      <c r="I68">
        <v>0</v>
      </c>
      <c r="J68">
        <v>0</v>
      </c>
      <c r="K68" s="5">
        <v>71.19</v>
      </c>
      <c r="L68">
        <v>7000</v>
      </c>
      <c r="M68">
        <v>0</v>
      </c>
      <c r="N68">
        <v>0</v>
      </c>
      <c r="O68">
        <v>1</v>
      </c>
    </row>
    <row r="69" spans="1:15" x14ac:dyDescent="0.2">
      <c r="A69" t="s">
        <v>140</v>
      </c>
      <c r="B69" t="s">
        <v>19</v>
      </c>
      <c r="C69">
        <v>85444078</v>
      </c>
      <c r="D69" t="s">
        <v>211</v>
      </c>
      <c r="E69">
        <v>125252</v>
      </c>
      <c r="F69">
        <v>123.34</v>
      </c>
      <c r="G69">
        <v>4.66</v>
      </c>
      <c r="H69">
        <v>0</v>
      </c>
      <c r="I69">
        <v>0</v>
      </c>
      <c r="J69">
        <v>0</v>
      </c>
      <c r="K69" s="5">
        <v>101.55</v>
      </c>
      <c r="L69">
        <v>68000</v>
      </c>
      <c r="M69">
        <v>0</v>
      </c>
      <c r="N69">
        <v>17000</v>
      </c>
      <c r="O69">
        <v>1</v>
      </c>
    </row>
    <row r="70" spans="1:15" x14ac:dyDescent="0.2">
      <c r="A70" t="s">
        <v>121</v>
      </c>
      <c r="B70" t="s">
        <v>19</v>
      </c>
      <c r="C70">
        <v>72127014</v>
      </c>
      <c r="D70" t="s">
        <v>211</v>
      </c>
      <c r="E70">
        <v>86994</v>
      </c>
      <c r="F70">
        <v>101.08</v>
      </c>
      <c r="G70">
        <v>18.920000000000002</v>
      </c>
      <c r="H70">
        <v>0</v>
      </c>
      <c r="I70">
        <v>0</v>
      </c>
      <c r="J70">
        <v>0</v>
      </c>
      <c r="K70" s="5">
        <v>86.06</v>
      </c>
      <c r="L70">
        <v>30000</v>
      </c>
      <c r="M70">
        <v>0</v>
      </c>
      <c r="N70">
        <v>7500</v>
      </c>
      <c r="O70">
        <v>1</v>
      </c>
    </row>
    <row r="71" spans="1:15" x14ac:dyDescent="0.2">
      <c r="A71" t="s">
        <v>142</v>
      </c>
      <c r="B71" t="s">
        <v>19</v>
      </c>
      <c r="C71">
        <v>87988828</v>
      </c>
      <c r="D71" t="s">
        <v>212</v>
      </c>
      <c r="E71">
        <v>55354</v>
      </c>
      <c r="F71">
        <v>80</v>
      </c>
      <c r="G71">
        <v>16</v>
      </c>
      <c r="H71">
        <v>0</v>
      </c>
      <c r="I71">
        <v>0</v>
      </c>
      <c r="J71">
        <v>0</v>
      </c>
      <c r="K71" s="5">
        <v>69.19</v>
      </c>
      <c r="L71">
        <v>7000</v>
      </c>
      <c r="M71">
        <v>0</v>
      </c>
      <c r="N71">
        <v>0</v>
      </c>
      <c r="O71">
        <v>1</v>
      </c>
    </row>
    <row r="72" spans="1:15" x14ac:dyDescent="0.2">
      <c r="A72" t="s">
        <v>144</v>
      </c>
      <c r="B72" t="s">
        <v>19</v>
      </c>
      <c r="C72">
        <v>89705148</v>
      </c>
      <c r="D72" t="s">
        <v>211</v>
      </c>
      <c r="E72">
        <v>100985</v>
      </c>
      <c r="F72">
        <v>100.34</v>
      </c>
      <c r="G72">
        <v>3.66</v>
      </c>
      <c r="H72">
        <v>0</v>
      </c>
      <c r="I72">
        <v>0</v>
      </c>
      <c r="J72">
        <v>0</v>
      </c>
      <c r="K72" s="5">
        <v>100.64</v>
      </c>
      <c r="L72">
        <v>68000</v>
      </c>
      <c r="M72">
        <v>0</v>
      </c>
      <c r="N72">
        <v>17000</v>
      </c>
      <c r="O72">
        <v>1</v>
      </c>
    </row>
    <row r="73" spans="1:15" x14ac:dyDescent="0.2">
      <c r="A73" t="s">
        <v>136</v>
      </c>
      <c r="B73" t="s">
        <v>19</v>
      </c>
      <c r="C73">
        <v>83550153</v>
      </c>
      <c r="D73" t="s">
        <v>211</v>
      </c>
      <c r="E73">
        <v>69740</v>
      </c>
      <c r="F73">
        <v>100</v>
      </c>
      <c r="G73">
        <v>4</v>
      </c>
      <c r="H73">
        <v>0</v>
      </c>
      <c r="I73">
        <v>0</v>
      </c>
      <c r="J73">
        <v>1</v>
      </c>
      <c r="K73" s="5">
        <v>69.739999999999995</v>
      </c>
      <c r="L73">
        <v>7000</v>
      </c>
      <c r="M73">
        <v>0</v>
      </c>
      <c r="N73">
        <v>0</v>
      </c>
      <c r="O73">
        <v>1</v>
      </c>
    </row>
    <row r="74" spans="1:15" x14ac:dyDescent="0.2">
      <c r="A74" t="s">
        <v>124</v>
      </c>
      <c r="B74" t="s">
        <v>19</v>
      </c>
      <c r="C74">
        <v>76267383</v>
      </c>
      <c r="D74" t="s">
        <v>211</v>
      </c>
      <c r="E74">
        <v>53061</v>
      </c>
      <c r="F74">
        <v>66</v>
      </c>
      <c r="G74">
        <v>38</v>
      </c>
      <c r="H74">
        <v>0</v>
      </c>
      <c r="I74">
        <v>0</v>
      </c>
      <c r="J74">
        <v>0</v>
      </c>
      <c r="K74" s="5">
        <v>80.400000000000006</v>
      </c>
      <c r="L74">
        <v>14000</v>
      </c>
      <c r="M74">
        <v>0</v>
      </c>
      <c r="N74">
        <v>3500</v>
      </c>
      <c r="O74">
        <v>1</v>
      </c>
    </row>
    <row r="75" spans="1:15" x14ac:dyDescent="0.2">
      <c r="A75" t="s">
        <v>135</v>
      </c>
      <c r="B75" t="s">
        <v>19</v>
      </c>
      <c r="C75">
        <v>83348671</v>
      </c>
      <c r="D75" t="s">
        <v>211</v>
      </c>
      <c r="E75">
        <v>67060</v>
      </c>
      <c r="F75">
        <v>120</v>
      </c>
      <c r="G75">
        <v>0</v>
      </c>
      <c r="H75">
        <v>0</v>
      </c>
      <c r="I75">
        <v>0</v>
      </c>
      <c r="J75">
        <v>0</v>
      </c>
      <c r="K75" s="5">
        <v>55.88</v>
      </c>
      <c r="L75">
        <v>7000</v>
      </c>
      <c r="M75">
        <v>0</v>
      </c>
      <c r="N75">
        <v>0</v>
      </c>
      <c r="O75">
        <v>1</v>
      </c>
    </row>
    <row r="76" spans="1:15" x14ac:dyDescent="0.2">
      <c r="A76" t="s">
        <v>127</v>
      </c>
      <c r="B76" t="s">
        <v>19</v>
      </c>
      <c r="C76">
        <v>78902945</v>
      </c>
      <c r="D76" t="s">
        <v>213</v>
      </c>
      <c r="E76">
        <v>42550</v>
      </c>
      <c r="F76">
        <v>97.75</v>
      </c>
      <c r="G76">
        <v>6.25</v>
      </c>
      <c r="H76">
        <v>0</v>
      </c>
      <c r="I76">
        <v>0</v>
      </c>
      <c r="J76">
        <v>0</v>
      </c>
      <c r="K76" s="5">
        <v>43.53</v>
      </c>
      <c r="L76">
        <v>7000</v>
      </c>
      <c r="M76">
        <v>0</v>
      </c>
      <c r="N76">
        <v>0</v>
      </c>
      <c r="O76">
        <v>1</v>
      </c>
    </row>
    <row r="77" spans="1:15" x14ac:dyDescent="0.2">
      <c r="A77" t="s">
        <v>147</v>
      </c>
      <c r="B77" t="s">
        <v>19</v>
      </c>
      <c r="C77">
        <v>91001357</v>
      </c>
      <c r="D77" t="s">
        <v>211</v>
      </c>
      <c r="E77">
        <v>30322</v>
      </c>
      <c r="F77">
        <v>80.75</v>
      </c>
      <c r="G77">
        <v>3.25</v>
      </c>
      <c r="H77">
        <v>0</v>
      </c>
      <c r="I77">
        <v>0</v>
      </c>
      <c r="J77">
        <v>0</v>
      </c>
      <c r="K77" s="5">
        <v>37.549999999999997</v>
      </c>
      <c r="L77">
        <v>7000</v>
      </c>
      <c r="M77">
        <v>0</v>
      </c>
      <c r="N77">
        <v>0</v>
      </c>
      <c r="O77">
        <v>1</v>
      </c>
    </row>
    <row r="78" spans="1:15" x14ac:dyDescent="0.2">
      <c r="A78" t="s">
        <v>133</v>
      </c>
      <c r="B78" t="s">
        <v>19</v>
      </c>
      <c r="C78">
        <v>83029767</v>
      </c>
      <c r="D78" t="s">
        <v>212</v>
      </c>
      <c r="E78">
        <v>75840</v>
      </c>
      <c r="F78">
        <v>84</v>
      </c>
      <c r="G78">
        <v>28</v>
      </c>
      <c r="H78">
        <v>0</v>
      </c>
      <c r="I78">
        <v>0</v>
      </c>
      <c r="J78">
        <v>0</v>
      </c>
      <c r="K78" s="5">
        <v>90.29</v>
      </c>
      <c r="L78">
        <v>44000</v>
      </c>
      <c r="M78">
        <v>0</v>
      </c>
      <c r="N78">
        <v>11000</v>
      </c>
      <c r="O78">
        <v>1</v>
      </c>
    </row>
    <row r="79" spans="1:15" x14ac:dyDescent="0.2">
      <c r="A79" t="s">
        <v>148</v>
      </c>
      <c r="B79" t="s">
        <v>19</v>
      </c>
      <c r="C79">
        <v>92206146</v>
      </c>
      <c r="D79" t="s">
        <v>211</v>
      </c>
      <c r="E79">
        <v>61891</v>
      </c>
      <c r="F79">
        <v>92.67</v>
      </c>
      <c r="G79">
        <v>3.33</v>
      </c>
      <c r="H79">
        <v>0</v>
      </c>
      <c r="I79">
        <v>0</v>
      </c>
      <c r="J79">
        <v>1</v>
      </c>
      <c r="K79" s="5">
        <v>66.790000000000006</v>
      </c>
      <c r="L79">
        <v>7000</v>
      </c>
      <c r="M79">
        <v>0</v>
      </c>
      <c r="N79">
        <v>0</v>
      </c>
      <c r="O79">
        <v>1</v>
      </c>
    </row>
    <row r="80" spans="1:15" x14ac:dyDescent="0.2">
      <c r="A80" t="s">
        <v>125</v>
      </c>
      <c r="B80" t="s">
        <v>19</v>
      </c>
      <c r="C80">
        <v>77534648</v>
      </c>
      <c r="D80" t="s">
        <v>211</v>
      </c>
      <c r="E80">
        <v>0</v>
      </c>
      <c r="F80">
        <v>0</v>
      </c>
      <c r="G80">
        <v>0</v>
      </c>
      <c r="H80">
        <v>0</v>
      </c>
      <c r="I80">
        <v>0</v>
      </c>
      <c r="J80">
        <v>16</v>
      </c>
      <c r="K80" s="5">
        <v>0</v>
      </c>
      <c r="L80">
        <v>0</v>
      </c>
      <c r="M80">
        <v>0</v>
      </c>
      <c r="N80">
        <v>0</v>
      </c>
      <c r="O80">
        <v>0</v>
      </c>
    </row>
    <row r="81" spans="1:15" x14ac:dyDescent="0.2">
      <c r="A81" t="s">
        <v>145</v>
      </c>
      <c r="B81" t="s">
        <v>19</v>
      </c>
      <c r="C81">
        <v>89913385</v>
      </c>
      <c r="D81" t="s">
        <v>213</v>
      </c>
      <c r="E81">
        <v>16697</v>
      </c>
      <c r="F81">
        <v>41</v>
      </c>
      <c r="G81">
        <v>15</v>
      </c>
      <c r="H81">
        <v>0</v>
      </c>
      <c r="I81">
        <v>0</v>
      </c>
      <c r="J81">
        <v>9</v>
      </c>
      <c r="K81" s="5">
        <v>40.72</v>
      </c>
      <c r="L81">
        <v>0</v>
      </c>
      <c r="M81">
        <v>0</v>
      </c>
      <c r="N81">
        <v>0</v>
      </c>
      <c r="O81">
        <v>0</v>
      </c>
    </row>
    <row r="82" spans="1:15" x14ac:dyDescent="0.2">
      <c r="A82" t="s">
        <v>143</v>
      </c>
      <c r="B82" t="s">
        <v>19</v>
      </c>
      <c r="C82">
        <v>89009824</v>
      </c>
      <c r="D82" t="s">
        <v>212</v>
      </c>
      <c r="E82">
        <v>35985</v>
      </c>
      <c r="F82">
        <v>60.17</v>
      </c>
      <c r="G82">
        <v>3.83</v>
      </c>
      <c r="H82">
        <v>0</v>
      </c>
      <c r="I82">
        <v>0</v>
      </c>
      <c r="J82">
        <v>8</v>
      </c>
      <c r="K82" s="5">
        <v>59.81</v>
      </c>
      <c r="L82">
        <v>0</v>
      </c>
      <c r="M82">
        <v>0</v>
      </c>
      <c r="N82">
        <v>0</v>
      </c>
      <c r="O82">
        <v>0</v>
      </c>
    </row>
    <row r="83" spans="1:15" x14ac:dyDescent="0.2">
      <c r="A83" t="s">
        <v>129</v>
      </c>
      <c r="B83" t="s">
        <v>19</v>
      </c>
      <c r="C83">
        <v>80885733</v>
      </c>
      <c r="D83" t="s">
        <v>211</v>
      </c>
      <c r="E83">
        <v>52921</v>
      </c>
      <c r="F83">
        <v>95.75</v>
      </c>
      <c r="G83">
        <v>16.25</v>
      </c>
      <c r="H83">
        <v>0</v>
      </c>
      <c r="I83">
        <v>0</v>
      </c>
      <c r="J83">
        <v>0</v>
      </c>
      <c r="K83" s="5">
        <v>55.27</v>
      </c>
      <c r="L83">
        <v>7000</v>
      </c>
      <c r="M83">
        <v>0</v>
      </c>
      <c r="N83">
        <v>0</v>
      </c>
      <c r="O83">
        <v>1</v>
      </c>
    </row>
    <row r="84" spans="1:15" x14ac:dyDescent="0.2">
      <c r="A84" t="s">
        <v>122</v>
      </c>
      <c r="B84" t="s">
        <v>19</v>
      </c>
      <c r="C84">
        <v>75273787</v>
      </c>
      <c r="D84" t="s">
        <v>211</v>
      </c>
      <c r="E84">
        <v>53431</v>
      </c>
      <c r="F84">
        <v>83.5</v>
      </c>
      <c r="G84">
        <v>20.5</v>
      </c>
      <c r="H84">
        <v>0</v>
      </c>
      <c r="I84">
        <v>0</v>
      </c>
      <c r="J84">
        <v>0</v>
      </c>
      <c r="K84" s="5">
        <v>63.99</v>
      </c>
      <c r="L84">
        <v>7000</v>
      </c>
      <c r="M84">
        <v>0</v>
      </c>
      <c r="N84">
        <v>0</v>
      </c>
      <c r="O84">
        <v>1</v>
      </c>
    </row>
    <row r="85" spans="1:15" x14ac:dyDescent="0.2">
      <c r="A85" t="s">
        <v>123</v>
      </c>
      <c r="B85" t="s">
        <v>19</v>
      </c>
      <c r="C85">
        <v>75941240</v>
      </c>
      <c r="D85" t="s">
        <v>213</v>
      </c>
      <c r="E85">
        <v>95377</v>
      </c>
      <c r="F85">
        <v>116.58</v>
      </c>
      <c r="G85">
        <v>3.42</v>
      </c>
      <c r="H85">
        <v>0</v>
      </c>
      <c r="I85">
        <v>0</v>
      </c>
      <c r="J85">
        <v>0</v>
      </c>
      <c r="K85" s="5">
        <v>81.81</v>
      </c>
      <c r="L85">
        <v>14000</v>
      </c>
      <c r="M85">
        <v>0</v>
      </c>
      <c r="N85">
        <v>3500</v>
      </c>
      <c r="O85">
        <v>1</v>
      </c>
    </row>
    <row r="86" spans="1:15" x14ac:dyDescent="0.2">
      <c r="A86" t="s">
        <v>128</v>
      </c>
      <c r="B86" t="s">
        <v>19</v>
      </c>
      <c r="C86">
        <v>80547978</v>
      </c>
      <c r="D86" t="s">
        <v>212</v>
      </c>
      <c r="E86">
        <v>77244</v>
      </c>
      <c r="F86">
        <v>95.83</v>
      </c>
      <c r="G86">
        <v>32.17</v>
      </c>
      <c r="H86">
        <v>0</v>
      </c>
      <c r="I86">
        <v>0</v>
      </c>
      <c r="J86">
        <v>0</v>
      </c>
      <c r="K86" s="5">
        <v>80.61</v>
      </c>
      <c r="L86">
        <v>14000</v>
      </c>
      <c r="M86">
        <v>0</v>
      </c>
      <c r="N86">
        <v>3500</v>
      </c>
      <c r="O86">
        <v>1</v>
      </c>
    </row>
    <row r="87" spans="1:15" x14ac:dyDescent="0.2">
      <c r="A87" t="s">
        <v>131</v>
      </c>
      <c r="B87" t="s">
        <v>19</v>
      </c>
      <c r="C87">
        <v>82455581</v>
      </c>
      <c r="D87" t="s">
        <v>211</v>
      </c>
      <c r="E87">
        <v>39981</v>
      </c>
      <c r="F87">
        <v>65.5</v>
      </c>
      <c r="G87">
        <v>6.5</v>
      </c>
      <c r="H87">
        <v>0</v>
      </c>
      <c r="I87">
        <v>0</v>
      </c>
      <c r="J87">
        <v>0</v>
      </c>
      <c r="K87" s="5">
        <v>61.04</v>
      </c>
      <c r="L87">
        <v>7000</v>
      </c>
      <c r="M87">
        <v>0</v>
      </c>
      <c r="N87">
        <v>0</v>
      </c>
      <c r="O87">
        <v>1</v>
      </c>
    </row>
    <row r="88" spans="1:15" x14ac:dyDescent="0.2">
      <c r="A88" t="s">
        <v>149</v>
      </c>
      <c r="B88" t="s">
        <v>19</v>
      </c>
      <c r="C88">
        <v>95677581</v>
      </c>
      <c r="D88" t="s">
        <v>211</v>
      </c>
      <c r="E88">
        <v>29767</v>
      </c>
      <c r="F88">
        <v>49</v>
      </c>
      <c r="G88">
        <v>0</v>
      </c>
      <c r="H88">
        <v>0</v>
      </c>
      <c r="I88">
        <v>0</v>
      </c>
      <c r="J88">
        <v>9</v>
      </c>
      <c r="K88" s="5">
        <v>60.75</v>
      </c>
      <c r="L88">
        <v>0</v>
      </c>
      <c r="M88">
        <v>0</v>
      </c>
      <c r="N88">
        <v>0</v>
      </c>
      <c r="O88">
        <v>0</v>
      </c>
    </row>
    <row r="89" spans="1:15" x14ac:dyDescent="0.2">
      <c r="A89" t="s">
        <v>150</v>
      </c>
      <c r="B89" t="s">
        <v>19</v>
      </c>
      <c r="C89">
        <v>116023593</v>
      </c>
      <c r="D89" t="s">
        <v>211</v>
      </c>
      <c r="E89">
        <v>9351</v>
      </c>
      <c r="F89">
        <v>21</v>
      </c>
      <c r="G89">
        <v>3</v>
      </c>
      <c r="H89">
        <v>0</v>
      </c>
      <c r="I89">
        <v>0</v>
      </c>
      <c r="J89">
        <v>10</v>
      </c>
      <c r="K89" s="5">
        <v>44.53</v>
      </c>
      <c r="L89">
        <v>0</v>
      </c>
      <c r="M89">
        <v>0</v>
      </c>
      <c r="N89">
        <v>0</v>
      </c>
      <c r="O89">
        <v>0</v>
      </c>
    </row>
    <row r="90" spans="1:15" x14ac:dyDescent="0.2">
      <c r="A90" t="s">
        <v>130</v>
      </c>
      <c r="B90" t="s">
        <v>19</v>
      </c>
      <c r="C90">
        <v>81874516</v>
      </c>
      <c r="D90" t="s">
        <v>214</v>
      </c>
      <c r="E90">
        <v>55857</v>
      </c>
      <c r="F90">
        <v>80.83</v>
      </c>
      <c r="G90">
        <v>23.17</v>
      </c>
      <c r="H90">
        <v>0</v>
      </c>
      <c r="I90">
        <v>0</v>
      </c>
      <c r="J90">
        <v>0</v>
      </c>
      <c r="K90" s="5">
        <v>69.099999999999994</v>
      </c>
      <c r="L90">
        <v>0</v>
      </c>
      <c r="M90">
        <v>0</v>
      </c>
      <c r="N90">
        <v>0</v>
      </c>
      <c r="O90">
        <v>1</v>
      </c>
    </row>
    <row r="91" spans="1:15" x14ac:dyDescent="0.2">
      <c r="A91" t="s">
        <v>141</v>
      </c>
      <c r="B91" t="s">
        <v>19</v>
      </c>
      <c r="C91">
        <v>87126806</v>
      </c>
      <c r="D91" t="s">
        <v>211</v>
      </c>
      <c r="E91">
        <v>43592</v>
      </c>
      <c r="F91">
        <v>89.25</v>
      </c>
      <c r="G91">
        <v>6.75</v>
      </c>
      <c r="H91">
        <v>0</v>
      </c>
      <c r="I91">
        <v>0</v>
      </c>
      <c r="J91">
        <v>0</v>
      </c>
      <c r="K91" s="5">
        <v>48.84</v>
      </c>
      <c r="L91">
        <v>7000</v>
      </c>
      <c r="M91">
        <v>0</v>
      </c>
      <c r="N91">
        <v>0</v>
      </c>
      <c r="O91">
        <v>1</v>
      </c>
    </row>
    <row r="92" spans="1:15" x14ac:dyDescent="0.2">
      <c r="A92" t="s">
        <v>134</v>
      </c>
      <c r="B92" t="s">
        <v>19</v>
      </c>
      <c r="C92">
        <v>83219737</v>
      </c>
      <c r="D92" t="s">
        <v>211</v>
      </c>
      <c r="E92">
        <v>55867</v>
      </c>
      <c r="F92">
        <v>99.26</v>
      </c>
      <c r="G92">
        <v>12.74</v>
      </c>
      <c r="H92">
        <v>0</v>
      </c>
      <c r="I92">
        <v>0</v>
      </c>
      <c r="J92">
        <v>0</v>
      </c>
      <c r="K92" s="5">
        <v>56.28</v>
      </c>
      <c r="L92">
        <v>7000</v>
      </c>
      <c r="M92">
        <v>0</v>
      </c>
      <c r="N92">
        <v>0</v>
      </c>
      <c r="O92">
        <v>1</v>
      </c>
    </row>
    <row r="93" spans="1:15" x14ac:dyDescent="0.2">
      <c r="A93" t="s">
        <v>132</v>
      </c>
      <c r="B93" t="s">
        <v>19</v>
      </c>
      <c r="C93">
        <v>82543691</v>
      </c>
      <c r="D93" t="s">
        <v>211</v>
      </c>
      <c r="E93">
        <v>59945</v>
      </c>
      <c r="F93">
        <v>96.59</v>
      </c>
      <c r="G93">
        <v>15.41</v>
      </c>
      <c r="H93">
        <v>0</v>
      </c>
      <c r="I93">
        <v>0</v>
      </c>
      <c r="J93">
        <v>0</v>
      </c>
      <c r="K93" s="5">
        <v>62.06</v>
      </c>
      <c r="L93">
        <v>7000</v>
      </c>
      <c r="M93">
        <v>0</v>
      </c>
      <c r="N93">
        <v>0</v>
      </c>
      <c r="O93">
        <v>1</v>
      </c>
    </row>
    <row r="94" spans="1:15" x14ac:dyDescent="0.2">
      <c r="A94" t="s">
        <v>139</v>
      </c>
      <c r="B94" t="s">
        <v>19</v>
      </c>
      <c r="C94">
        <v>84554408</v>
      </c>
      <c r="D94" t="s">
        <v>211</v>
      </c>
      <c r="E94">
        <v>85402</v>
      </c>
      <c r="F94">
        <v>105</v>
      </c>
      <c r="G94">
        <v>23</v>
      </c>
      <c r="H94">
        <v>0</v>
      </c>
      <c r="I94">
        <v>0</v>
      </c>
      <c r="J94">
        <v>0</v>
      </c>
      <c r="K94" s="5">
        <v>81.34</v>
      </c>
      <c r="L94">
        <v>14000</v>
      </c>
      <c r="M94">
        <v>0</v>
      </c>
      <c r="N94">
        <v>3500</v>
      </c>
      <c r="O94">
        <v>1</v>
      </c>
    </row>
    <row r="95" spans="1:15" x14ac:dyDescent="0.2">
      <c r="A95" t="s">
        <v>165</v>
      </c>
      <c r="B95" t="s">
        <v>20</v>
      </c>
      <c r="C95">
        <v>81111893</v>
      </c>
      <c r="D95" t="s">
        <v>211</v>
      </c>
      <c r="E95">
        <v>42103</v>
      </c>
      <c r="F95">
        <v>52</v>
      </c>
      <c r="G95">
        <v>20</v>
      </c>
      <c r="H95">
        <v>0</v>
      </c>
      <c r="I95">
        <v>0</v>
      </c>
      <c r="J95">
        <v>5</v>
      </c>
      <c r="K95" s="5">
        <v>80.97</v>
      </c>
      <c r="L95">
        <v>0</v>
      </c>
      <c r="M95">
        <v>0</v>
      </c>
      <c r="N95">
        <v>0</v>
      </c>
      <c r="O95">
        <v>0</v>
      </c>
    </row>
    <row r="96" spans="1:15" x14ac:dyDescent="0.2">
      <c r="A96" t="s">
        <v>162</v>
      </c>
      <c r="B96" t="s">
        <v>20</v>
      </c>
      <c r="C96">
        <v>80301554</v>
      </c>
      <c r="D96" t="s">
        <v>211</v>
      </c>
      <c r="E96">
        <v>70874</v>
      </c>
      <c r="F96">
        <v>80</v>
      </c>
      <c r="G96">
        <v>24</v>
      </c>
      <c r="H96">
        <v>0</v>
      </c>
      <c r="I96">
        <v>0</v>
      </c>
      <c r="J96">
        <v>0</v>
      </c>
      <c r="K96" s="5">
        <v>88.59</v>
      </c>
      <c r="L96">
        <v>15000</v>
      </c>
      <c r="M96">
        <v>0</v>
      </c>
      <c r="N96">
        <v>7500</v>
      </c>
      <c r="O96">
        <v>1</v>
      </c>
    </row>
    <row r="97" spans="1:15" x14ac:dyDescent="0.2">
      <c r="A97" t="s">
        <v>170</v>
      </c>
      <c r="B97" t="s">
        <v>20</v>
      </c>
      <c r="C97">
        <v>83683507</v>
      </c>
      <c r="D97" t="s">
        <v>212</v>
      </c>
      <c r="E97">
        <v>72683</v>
      </c>
      <c r="F97">
        <v>81</v>
      </c>
      <c r="G97">
        <v>23</v>
      </c>
      <c r="H97">
        <v>0</v>
      </c>
      <c r="I97">
        <v>0</v>
      </c>
      <c r="J97">
        <v>0</v>
      </c>
      <c r="K97" s="5">
        <v>89.73</v>
      </c>
      <c r="L97">
        <v>15000</v>
      </c>
      <c r="M97">
        <v>0</v>
      </c>
      <c r="N97">
        <v>7500</v>
      </c>
      <c r="O97">
        <v>1</v>
      </c>
    </row>
    <row r="98" spans="1:15" x14ac:dyDescent="0.2">
      <c r="A98" t="s">
        <v>174</v>
      </c>
      <c r="B98" t="s">
        <v>20</v>
      </c>
      <c r="C98">
        <v>85255627</v>
      </c>
      <c r="D98" t="s">
        <v>211</v>
      </c>
      <c r="E98">
        <v>79528</v>
      </c>
      <c r="F98">
        <v>92.67</v>
      </c>
      <c r="G98">
        <v>19.329999999999998</v>
      </c>
      <c r="H98">
        <v>0</v>
      </c>
      <c r="I98">
        <v>0</v>
      </c>
      <c r="J98">
        <v>0</v>
      </c>
      <c r="K98" s="5">
        <v>85.82</v>
      </c>
      <c r="L98">
        <v>15000</v>
      </c>
      <c r="M98">
        <v>0</v>
      </c>
      <c r="N98">
        <v>7500</v>
      </c>
      <c r="O98">
        <v>1</v>
      </c>
    </row>
    <row r="99" spans="1:15" x14ac:dyDescent="0.2">
      <c r="A99" t="s">
        <v>168</v>
      </c>
      <c r="B99" t="s">
        <v>20</v>
      </c>
      <c r="C99">
        <v>82581493</v>
      </c>
      <c r="D99" t="s">
        <v>212</v>
      </c>
      <c r="E99">
        <v>49715</v>
      </c>
      <c r="F99">
        <v>75</v>
      </c>
      <c r="G99">
        <v>29</v>
      </c>
      <c r="H99">
        <v>0</v>
      </c>
      <c r="I99">
        <v>0</v>
      </c>
      <c r="J99">
        <v>0</v>
      </c>
      <c r="K99" s="5">
        <v>66.290000000000006</v>
      </c>
      <c r="L99">
        <v>3500</v>
      </c>
      <c r="M99">
        <v>0</v>
      </c>
      <c r="N99">
        <v>0</v>
      </c>
      <c r="O99">
        <v>1</v>
      </c>
    </row>
    <row r="100" spans="1:15" x14ac:dyDescent="0.2">
      <c r="A100" t="s">
        <v>172</v>
      </c>
      <c r="B100" t="s">
        <v>20</v>
      </c>
      <c r="C100">
        <v>84881830</v>
      </c>
      <c r="D100" t="s">
        <v>212</v>
      </c>
      <c r="E100">
        <v>113509</v>
      </c>
      <c r="F100">
        <v>110.17</v>
      </c>
      <c r="G100">
        <v>1.83</v>
      </c>
      <c r="H100">
        <v>0</v>
      </c>
      <c r="I100">
        <v>0</v>
      </c>
      <c r="J100">
        <v>0</v>
      </c>
      <c r="K100" s="5">
        <v>103.03</v>
      </c>
      <c r="L100">
        <v>34000</v>
      </c>
      <c r="M100">
        <v>0</v>
      </c>
      <c r="N100">
        <v>17000</v>
      </c>
      <c r="O100">
        <v>1</v>
      </c>
    </row>
    <row r="101" spans="1:15" x14ac:dyDescent="0.2">
      <c r="A101" t="s">
        <v>176</v>
      </c>
      <c r="B101" t="s">
        <v>20</v>
      </c>
      <c r="C101">
        <v>87263615</v>
      </c>
      <c r="D101" t="s">
        <v>212</v>
      </c>
      <c r="E101">
        <v>115586</v>
      </c>
      <c r="F101">
        <v>107.58</v>
      </c>
      <c r="G101">
        <v>12.42</v>
      </c>
      <c r="H101">
        <v>0</v>
      </c>
      <c r="I101">
        <v>0</v>
      </c>
      <c r="J101">
        <v>0</v>
      </c>
      <c r="K101" s="5">
        <v>107.44</v>
      </c>
      <c r="L101">
        <v>34000</v>
      </c>
      <c r="M101">
        <v>0</v>
      </c>
      <c r="N101">
        <v>17000</v>
      </c>
      <c r="O101">
        <v>1</v>
      </c>
    </row>
    <row r="102" spans="1:15" x14ac:dyDescent="0.2">
      <c r="A102" t="s">
        <v>154</v>
      </c>
      <c r="B102" t="s">
        <v>20</v>
      </c>
      <c r="C102">
        <v>76768653</v>
      </c>
      <c r="D102" t="s">
        <v>211</v>
      </c>
      <c r="E102">
        <v>53669</v>
      </c>
      <c r="F102">
        <v>83.41</v>
      </c>
      <c r="G102">
        <v>28.59</v>
      </c>
      <c r="H102">
        <v>0</v>
      </c>
      <c r="I102">
        <v>0</v>
      </c>
      <c r="J102">
        <v>0</v>
      </c>
      <c r="K102" s="5">
        <v>64.34</v>
      </c>
      <c r="L102">
        <v>3500</v>
      </c>
      <c r="M102">
        <v>0</v>
      </c>
      <c r="N102">
        <v>0</v>
      </c>
      <c r="O102">
        <v>1</v>
      </c>
    </row>
    <row r="103" spans="1:15" x14ac:dyDescent="0.2">
      <c r="A103" t="s">
        <v>181</v>
      </c>
      <c r="B103" t="s">
        <v>20</v>
      </c>
      <c r="C103">
        <v>94450266</v>
      </c>
      <c r="D103" t="s">
        <v>213</v>
      </c>
      <c r="E103">
        <v>31688</v>
      </c>
      <c r="F103">
        <v>71.67</v>
      </c>
      <c r="G103">
        <v>40.33</v>
      </c>
      <c r="H103">
        <v>0</v>
      </c>
      <c r="I103">
        <v>0</v>
      </c>
      <c r="J103">
        <v>0</v>
      </c>
      <c r="K103" s="5">
        <v>44.21</v>
      </c>
      <c r="L103">
        <v>3500</v>
      </c>
      <c r="M103">
        <v>0</v>
      </c>
      <c r="N103">
        <v>0</v>
      </c>
      <c r="O103">
        <v>1</v>
      </c>
    </row>
    <row r="104" spans="1:15" x14ac:dyDescent="0.2">
      <c r="A104" t="s">
        <v>160</v>
      </c>
      <c r="B104" t="s">
        <v>20</v>
      </c>
      <c r="C104">
        <v>78998308</v>
      </c>
      <c r="D104" t="s">
        <v>212</v>
      </c>
      <c r="E104">
        <v>63690</v>
      </c>
      <c r="F104">
        <v>92</v>
      </c>
      <c r="G104">
        <v>28</v>
      </c>
      <c r="H104">
        <v>0</v>
      </c>
      <c r="I104">
        <v>0</v>
      </c>
      <c r="J104">
        <v>0</v>
      </c>
      <c r="K104" s="5">
        <v>69.23</v>
      </c>
      <c r="L104">
        <v>3500</v>
      </c>
      <c r="M104">
        <v>0</v>
      </c>
      <c r="N104">
        <v>0</v>
      </c>
      <c r="O104">
        <v>1</v>
      </c>
    </row>
    <row r="105" spans="1:15" x14ac:dyDescent="0.2">
      <c r="A105" t="s">
        <v>152</v>
      </c>
      <c r="B105" t="s">
        <v>20</v>
      </c>
      <c r="C105">
        <v>75855055</v>
      </c>
      <c r="D105" t="s">
        <v>213</v>
      </c>
      <c r="E105">
        <v>24519</v>
      </c>
      <c r="F105">
        <v>37</v>
      </c>
      <c r="G105">
        <v>59</v>
      </c>
      <c r="H105">
        <v>0</v>
      </c>
      <c r="I105">
        <v>0</v>
      </c>
      <c r="J105">
        <v>0</v>
      </c>
      <c r="K105" s="5">
        <v>66.27</v>
      </c>
      <c r="L105">
        <v>3500</v>
      </c>
      <c r="M105">
        <v>0</v>
      </c>
      <c r="N105">
        <v>0</v>
      </c>
      <c r="O105">
        <v>1</v>
      </c>
    </row>
    <row r="106" spans="1:15" x14ac:dyDescent="0.2">
      <c r="A106" t="s">
        <v>173</v>
      </c>
      <c r="B106" t="s">
        <v>20</v>
      </c>
      <c r="C106">
        <v>85078046</v>
      </c>
      <c r="D106" t="s">
        <v>211</v>
      </c>
      <c r="E106">
        <v>48288</v>
      </c>
      <c r="F106">
        <v>78</v>
      </c>
      <c r="G106">
        <v>42</v>
      </c>
      <c r="H106">
        <v>0</v>
      </c>
      <c r="I106">
        <v>0</v>
      </c>
      <c r="J106">
        <v>1</v>
      </c>
      <c r="K106" s="5">
        <v>61.91</v>
      </c>
      <c r="L106">
        <v>3500</v>
      </c>
      <c r="M106">
        <v>0</v>
      </c>
      <c r="N106">
        <v>0</v>
      </c>
      <c r="O106">
        <v>1</v>
      </c>
    </row>
    <row r="107" spans="1:15" x14ac:dyDescent="0.2">
      <c r="A107" t="s">
        <v>155</v>
      </c>
      <c r="B107" t="s">
        <v>20</v>
      </c>
      <c r="C107">
        <v>76774861</v>
      </c>
      <c r="D107" t="s">
        <v>211</v>
      </c>
      <c r="E107">
        <v>21988</v>
      </c>
      <c r="F107">
        <v>26</v>
      </c>
      <c r="G107">
        <v>22</v>
      </c>
      <c r="H107">
        <v>0</v>
      </c>
      <c r="I107">
        <v>0</v>
      </c>
      <c r="J107">
        <v>0</v>
      </c>
      <c r="K107" s="5">
        <v>84.57</v>
      </c>
      <c r="L107">
        <v>7000</v>
      </c>
      <c r="M107">
        <v>0</v>
      </c>
      <c r="N107">
        <v>3500</v>
      </c>
      <c r="O107">
        <v>1</v>
      </c>
    </row>
    <row r="108" spans="1:15" x14ac:dyDescent="0.2">
      <c r="A108" t="s">
        <v>179</v>
      </c>
      <c r="B108" t="s">
        <v>20</v>
      </c>
      <c r="C108">
        <v>90297151</v>
      </c>
      <c r="D108" t="s">
        <v>211</v>
      </c>
      <c r="E108">
        <v>20456</v>
      </c>
      <c r="F108">
        <v>22</v>
      </c>
      <c r="G108">
        <v>49.5</v>
      </c>
      <c r="H108">
        <v>0</v>
      </c>
      <c r="I108">
        <v>0</v>
      </c>
      <c r="J108">
        <v>0</v>
      </c>
      <c r="K108" s="5">
        <v>92.98</v>
      </c>
      <c r="L108">
        <v>22000</v>
      </c>
      <c r="M108">
        <v>0</v>
      </c>
      <c r="N108">
        <v>11000</v>
      </c>
      <c r="O108">
        <v>1</v>
      </c>
    </row>
    <row r="109" spans="1:15" x14ac:dyDescent="0.2">
      <c r="A109" t="s">
        <v>175</v>
      </c>
      <c r="B109" t="s">
        <v>20</v>
      </c>
      <c r="C109">
        <v>87146675</v>
      </c>
      <c r="D109" t="s">
        <v>212</v>
      </c>
      <c r="E109">
        <v>119100</v>
      </c>
      <c r="F109">
        <v>113.5</v>
      </c>
      <c r="G109">
        <v>6.5</v>
      </c>
      <c r="H109">
        <v>0</v>
      </c>
      <c r="I109">
        <v>0</v>
      </c>
      <c r="J109">
        <v>0</v>
      </c>
      <c r="K109" s="5">
        <v>104.93</v>
      </c>
      <c r="L109">
        <v>34000</v>
      </c>
      <c r="M109">
        <v>0</v>
      </c>
      <c r="N109">
        <v>17000</v>
      </c>
      <c r="O109">
        <v>1</v>
      </c>
    </row>
    <row r="110" spans="1:15" x14ac:dyDescent="0.2">
      <c r="A110" t="s">
        <v>163</v>
      </c>
      <c r="B110" t="s">
        <v>20</v>
      </c>
      <c r="C110">
        <v>80645751</v>
      </c>
      <c r="D110" t="s">
        <v>211</v>
      </c>
      <c r="E110">
        <v>42573</v>
      </c>
      <c r="F110">
        <v>55.5</v>
      </c>
      <c r="G110">
        <v>24.5</v>
      </c>
      <c r="H110">
        <v>0</v>
      </c>
      <c r="I110">
        <v>0</v>
      </c>
      <c r="J110">
        <v>6</v>
      </c>
      <c r="K110" s="5">
        <v>76.709999999999994</v>
      </c>
      <c r="L110">
        <v>0</v>
      </c>
      <c r="M110">
        <v>0</v>
      </c>
      <c r="N110">
        <v>0</v>
      </c>
      <c r="O110">
        <v>0</v>
      </c>
    </row>
    <row r="111" spans="1:15" x14ac:dyDescent="0.2">
      <c r="A111" t="s">
        <v>159</v>
      </c>
      <c r="B111" t="s">
        <v>20</v>
      </c>
      <c r="C111">
        <v>78988862</v>
      </c>
      <c r="D111" t="s">
        <v>213</v>
      </c>
      <c r="E111">
        <v>43005</v>
      </c>
      <c r="F111">
        <v>72.33</v>
      </c>
      <c r="G111">
        <v>55.67</v>
      </c>
      <c r="H111">
        <v>0</v>
      </c>
      <c r="I111">
        <v>0</v>
      </c>
      <c r="J111">
        <v>0</v>
      </c>
      <c r="K111" s="5">
        <v>59.46</v>
      </c>
      <c r="L111">
        <v>3500</v>
      </c>
      <c r="M111">
        <v>0</v>
      </c>
      <c r="N111">
        <v>0</v>
      </c>
      <c r="O111">
        <v>1</v>
      </c>
    </row>
    <row r="112" spans="1:15" x14ac:dyDescent="0.2">
      <c r="A112" t="s">
        <v>166</v>
      </c>
      <c r="B112" t="s">
        <v>20</v>
      </c>
      <c r="C112">
        <v>81147038</v>
      </c>
      <c r="D112" t="s">
        <v>213</v>
      </c>
      <c r="E112">
        <v>58325</v>
      </c>
      <c r="F112">
        <v>121.67</v>
      </c>
      <c r="G112">
        <v>6.33</v>
      </c>
      <c r="H112">
        <v>0</v>
      </c>
      <c r="I112">
        <v>0</v>
      </c>
      <c r="J112">
        <v>0</v>
      </c>
      <c r="K112" s="5">
        <v>47.94</v>
      </c>
      <c r="L112">
        <v>3500</v>
      </c>
      <c r="M112">
        <v>0</v>
      </c>
      <c r="N112">
        <v>0</v>
      </c>
      <c r="O112">
        <v>1</v>
      </c>
    </row>
    <row r="113" spans="1:15" x14ac:dyDescent="0.2">
      <c r="A113" t="s">
        <v>161</v>
      </c>
      <c r="B113" t="s">
        <v>20</v>
      </c>
      <c r="C113">
        <v>80094692</v>
      </c>
      <c r="D113" t="s">
        <v>211</v>
      </c>
      <c r="E113">
        <v>38084</v>
      </c>
      <c r="F113">
        <v>75.5</v>
      </c>
      <c r="G113">
        <v>20.5</v>
      </c>
      <c r="H113">
        <v>0</v>
      </c>
      <c r="I113">
        <v>0</v>
      </c>
      <c r="J113">
        <v>3</v>
      </c>
      <c r="K113" s="5">
        <v>50.44</v>
      </c>
      <c r="L113">
        <v>0</v>
      </c>
      <c r="M113">
        <v>0</v>
      </c>
      <c r="N113">
        <v>0</v>
      </c>
      <c r="O113">
        <v>0</v>
      </c>
    </row>
    <row r="114" spans="1:15" x14ac:dyDescent="0.2">
      <c r="A114" t="s">
        <v>167</v>
      </c>
      <c r="B114" t="s">
        <v>20</v>
      </c>
      <c r="C114">
        <v>81704044</v>
      </c>
      <c r="D114" t="s">
        <v>211</v>
      </c>
      <c r="E114">
        <v>22660</v>
      </c>
      <c r="F114">
        <v>29.5</v>
      </c>
      <c r="G114">
        <v>74.5</v>
      </c>
      <c r="H114">
        <v>0</v>
      </c>
      <c r="I114">
        <v>0</v>
      </c>
      <c r="J114">
        <v>0</v>
      </c>
      <c r="K114" s="5">
        <v>76.81</v>
      </c>
      <c r="L114">
        <v>3500</v>
      </c>
      <c r="M114">
        <v>0</v>
      </c>
      <c r="N114">
        <v>0</v>
      </c>
      <c r="O114">
        <v>1</v>
      </c>
    </row>
    <row r="115" spans="1:15" x14ac:dyDescent="0.2">
      <c r="A115" t="s">
        <v>153</v>
      </c>
      <c r="B115" t="s">
        <v>20</v>
      </c>
      <c r="C115">
        <v>76719947</v>
      </c>
      <c r="D115" t="s">
        <v>211</v>
      </c>
      <c r="E115">
        <v>54121</v>
      </c>
      <c r="F115">
        <v>89.83</v>
      </c>
      <c r="G115">
        <v>30.17</v>
      </c>
      <c r="H115">
        <v>0</v>
      </c>
      <c r="I115">
        <v>0</v>
      </c>
      <c r="J115">
        <v>0</v>
      </c>
      <c r="K115" s="5">
        <v>60.25</v>
      </c>
      <c r="L115">
        <v>3500</v>
      </c>
      <c r="M115">
        <v>0</v>
      </c>
      <c r="N115">
        <v>0</v>
      </c>
      <c r="O115">
        <v>1</v>
      </c>
    </row>
    <row r="116" spans="1:15" x14ac:dyDescent="0.2">
      <c r="A116" t="s">
        <v>151</v>
      </c>
      <c r="B116" t="s">
        <v>20</v>
      </c>
      <c r="C116">
        <v>74842986</v>
      </c>
      <c r="D116" t="s">
        <v>211</v>
      </c>
      <c r="E116">
        <v>48611</v>
      </c>
      <c r="F116">
        <v>81.83</v>
      </c>
      <c r="G116">
        <v>30.17</v>
      </c>
      <c r="H116">
        <v>0</v>
      </c>
      <c r="I116">
        <v>0</v>
      </c>
      <c r="J116">
        <v>0</v>
      </c>
      <c r="K116" s="5">
        <v>59.4</v>
      </c>
      <c r="L116">
        <v>3500</v>
      </c>
      <c r="M116">
        <v>0</v>
      </c>
      <c r="N116">
        <v>0</v>
      </c>
      <c r="O116">
        <v>1</v>
      </c>
    </row>
    <row r="117" spans="1:15" x14ac:dyDescent="0.2">
      <c r="A117" t="s">
        <v>177</v>
      </c>
      <c r="B117" t="s">
        <v>20</v>
      </c>
      <c r="C117">
        <v>87550313</v>
      </c>
      <c r="D117" t="s">
        <v>213</v>
      </c>
      <c r="E117">
        <v>56077</v>
      </c>
      <c r="F117">
        <v>96</v>
      </c>
      <c r="G117">
        <v>32</v>
      </c>
      <c r="H117">
        <v>0</v>
      </c>
      <c r="I117">
        <v>0</v>
      </c>
      <c r="J117">
        <v>0</v>
      </c>
      <c r="K117" s="5">
        <v>58.41</v>
      </c>
      <c r="L117">
        <v>3500</v>
      </c>
      <c r="M117">
        <v>0</v>
      </c>
      <c r="N117">
        <v>0</v>
      </c>
      <c r="O117">
        <v>1</v>
      </c>
    </row>
    <row r="118" spans="1:15" x14ac:dyDescent="0.2">
      <c r="A118" t="s">
        <v>180</v>
      </c>
      <c r="B118" t="s">
        <v>20</v>
      </c>
      <c r="C118">
        <v>92651838</v>
      </c>
      <c r="D118" t="s">
        <v>212</v>
      </c>
      <c r="E118">
        <v>28603</v>
      </c>
      <c r="F118">
        <v>39</v>
      </c>
      <c r="G118">
        <v>21</v>
      </c>
      <c r="H118">
        <v>0</v>
      </c>
      <c r="I118">
        <v>0</v>
      </c>
      <c r="J118">
        <v>0</v>
      </c>
      <c r="K118" s="5">
        <v>73.34</v>
      </c>
      <c r="L118">
        <v>3500</v>
      </c>
      <c r="M118">
        <v>0</v>
      </c>
      <c r="N118">
        <v>0</v>
      </c>
      <c r="O118">
        <v>1</v>
      </c>
    </row>
    <row r="119" spans="1:15" x14ac:dyDescent="0.2">
      <c r="A119" t="s">
        <v>156</v>
      </c>
      <c r="B119" t="s">
        <v>20</v>
      </c>
      <c r="C119">
        <v>77325954</v>
      </c>
      <c r="D119" t="s">
        <v>211</v>
      </c>
      <c r="E119">
        <v>70888</v>
      </c>
      <c r="F119">
        <v>91</v>
      </c>
      <c r="G119">
        <v>21</v>
      </c>
      <c r="H119">
        <v>0</v>
      </c>
      <c r="I119">
        <v>0</v>
      </c>
      <c r="J119">
        <v>0</v>
      </c>
      <c r="K119" s="5">
        <v>77.900000000000006</v>
      </c>
      <c r="L119">
        <v>3500</v>
      </c>
      <c r="M119">
        <v>0</v>
      </c>
      <c r="N119">
        <v>0</v>
      </c>
      <c r="O119">
        <v>1</v>
      </c>
    </row>
    <row r="120" spans="1:15" x14ac:dyDescent="0.2">
      <c r="A120" t="s">
        <v>158</v>
      </c>
      <c r="B120" t="s">
        <v>20</v>
      </c>
      <c r="C120">
        <v>78085916</v>
      </c>
      <c r="D120" t="s">
        <v>211</v>
      </c>
      <c r="E120">
        <v>35941</v>
      </c>
      <c r="F120">
        <v>39.5</v>
      </c>
      <c r="G120">
        <v>0.5</v>
      </c>
      <c r="H120">
        <v>0</v>
      </c>
      <c r="I120">
        <v>0</v>
      </c>
      <c r="J120">
        <v>10</v>
      </c>
      <c r="K120" s="5">
        <v>90.99</v>
      </c>
      <c r="L120">
        <v>0</v>
      </c>
      <c r="M120">
        <v>0</v>
      </c>
      <c r="N120">
        <v>0</v>
      </c>
      <c r="O120">
        <v>0</v>
      </c>
    </row>
    <row r="121" spans="1:15" x14ac:dyDescent="0.2">
      <c r="A121" t="s">
        <v>169</v>
      </c>
      <c r="B121" t="s">
        <v>20</v>
      </c>
      <c r="C121">
        <v>82881755</v>
      </c>
      <c r="D121" t="s">
        <v>212</v>
      </c>
      <c r="E121">
        <v>62151</v>
      </c>
      <c r="F121">
        <v>89</v>
      </c>
      <c r="G121">
        <v>23</v>
      </c>
      <c r="H121">
        <v>0</v>
      </c>
      <c r="I121">
        <v>0</v>
      </c>
      <c r="J121">
        <v>0</v>
      </c>
      <c r="K121" s="5">
        <v>69.83</v>
      </c>
      <c r="L121">
        <v>3500</v>
      </c>
      <c r="M121">
        <v>0</v>
      </c>
      <c r="N121">
        <v>0</v>
      </c>
      <c r="O121">
        <v>1</v>
      </c>
    </row>
    <row r="122" spans="1:15" x14ac:dyDescent="0.2">
      <c r="A122" t="s">
        <v>157</v>
      </c>
      <c r="B122" t="s">
        <v>20</v>
      </c>
      <c r="C122">
        <v>77897387</v>
      </c>
      <c r="D122" t="s">
        <v>211</v>
      </c>
      <c r="E122">
        <v>72049</v>
      </c>
      <c r="F122">
        <v>72</v>
      </c>
      <c r="G122">
        <v>8</v>
      </c>
      <c r="H122">
        <v>0</v>
      </c>
      <c r="I122">
        <v>0</v>
      </c>
      <c r="J122">
        <v>0</v>
      </c>
      <c r="K122" s="5">
        <v>100.07</v>
      </c>
      <c r="L122">
        <v>34000</v>
      </c>
      <c r="M122">
        <v>0</v>
      </c>
      <c r="N122">
        <v>17000</v>
      </c>
      <c r="O122">
        <v>1</v>
      </c>
    </row>
    <row r="123" spans="1:15" x14ac:dyDescent="0.2">
      <c r="A123" t="s">
        <v>171</v>
      </c>
      <c r="B123" t="s">
        <v>20</v>
      </c>
      <c r="C123">
        <v>84644770</v>
      </c>
      <c r="D123" t="s">
        <v>212</v>
      </c>
      <c r="E123">
        <v>78140</v>
      </c>
      <c r="F123">
        <v>84</v>
      </c>
      <c r="G123">
        <v>44</v>
      </c>
      <c r="H123">
        <v>0</v>
      </c>
      <c r="I123">
        <v>0</v>
      </c>
      <c r="J123">
        <v>0</v>
      </c>
      <c r="K123" s="5">
        <v>93.02</v>
      </c>
      <c r="L123">
        <v>22000</v>
      </c>
      <c r="M123">
        <v>0</v>
      </c>
      <c r="N123">
        <v>11000</v>
      </c>
      <c r="O123">
        <v>1</v>
      </c>
    </row>
    <row r="124" spans="1:15" x14ac:dyDescent="0.2">
      <c r="A124" t="s">
        <v>164</v>
      </c>
      <c r="B124" t="s">
        <v>20</v>
      </c>
      <c r="C124">
        <v>80779463</v>
      </c>
      <c r="D124" t="s">
        <v>211</v>
      </c>
      <c r="E124">
        <v>26551</v>
      </c>
      <c r="F124">
        <v>48</v>
      </c>
      <c r="G124">
        <v>48</v>
      </c>
      <c r="H124">
        <v>0</v>
      </c>
      <c r="I124">
        <v>0</v>
      </c>
      <c r="J124">
        <v>0</v>
      </c>
      <c r="K124" s="5">
        <v>55.31</v>
      </c>
      <c r="L124">
        <v>3500</v>
      </c>
      <c r="M124">
        <v>0</v>
      </c>
      <c r="N124">
        <v>0</v>
      </c>
      <c r="O124">
        <v>1</v>
      </c>
    </row>
    <row r="125" spans="1:15" x14ac:dyDescent="0.2">
      <c r="A125" t="s">
        <v>178</v>
      </c>
      <c r="B125" t="s">
        <v>20</v>
      </c>
      <c r="C125">
        <v>89921322</v>
      </c>
      <c r="D125" t="s">
        <v>211</v>
      </c>
      <c r="E125">
        <v>67529</v>
      </c>
      <c r="F125">
        <v>87</v>
      </c>
      <c r="G125">
        <v>33</v>
      </c>
      <c r="H125">
        <v>0</v>
      </c>
      <c r="I125">
        <v>0</v>
      </c>
      <c r="J125">
        <v>0</v>
      </c>
      <c r="K125" s="5">
        <v>77.62</v>
      </c>
      <c r="L125">
        <v>3500</v>
      </c>
      <c r="M125">
        <v>0</v>
      </c>
      <c r="N125">
        <v>0</v>
      </c>
      <c r="O125">
        <v>1</v>
      </c>
    </row>
    <row r="126" spans="1:15" x14ac:dyDescent="0.2">
      <c r="A126" t="s">
        <v>106</v>
      </c>
      <c r="B126" t="s">
        <v>20</v>
      </c>
      <c r="C126">
        <v>79254553</v>
      </c>
      <c r="D126" t="s">
        <v>212</v>
      </c>
      <c r="E126">
        <v>55800</v>
      </c>
      <c r="F126">
        <v>61</v>
      </c>
      <c r="G126">
        <v>27</v>
      </c>
      <c r="H126">
        <v>0</v>
      </c>
      <c r="I126">
        <v>0</v>
      </c>
      <c r="J126">
        <v>0</v>
      </c>
      <c r="K126" s="5">
        <v>91.48</v>
      </c>
      <c r="L126">
        <v>22000</v>
      </c>
      <c r="M126">
        <v>0</v>
      </c>
      <c r="N126">
        <v>11000</v>
      </c>
      <c r="O126">
        <v>1</v>
      </c>
    </row>
    <row r="127" spans="1:15" x14ac:dyDescent="0.2">
      <c r="A127" t="s">
        <v>192</v>
      </c>
      <c r="B127" t="s">
        <v>21</v>
      </c>
      <c r="C127">
        <v>81391190</v>
      </c>
      <c r="D127" t="s">
        <v>211</v>
      </c>
      <c r="E127">
        <v>50830</v>
      </c>
      <c r="F127">
        <v>77</v>
      </c>
      <c r="G127">
        <v>51</v>
      </c>
      <c r="H127">
        <v>0</v>
      </c>
      <c r="I127">
        <v>0</v>
      </c>
      <c r="J127">
        <v>0</v>
      </c>
      <c r="K127" s="5">
        <v>66.010000000000005</v>
      </c>
      <c r="L127">
        <v>7000</v>
      </c>
      <c r="M127">
        <v>0</v>
      </c>
      <c r="N127">
        <v>0</v>
      </c>
      <c r="O127">
        <v>1</v>
      </c>
    </row>
    <row r="128" spans="1:15" x14ac:dyDescent="0.2">
      <c r="A128" t="s">
        <v>186</v>
      </c>
      <c r="B128" t="s">
        <v>21</v>
      </c>
      <c r="C128">
        <v>78505728</v>
      </c>
      <c r="D128" t="s">
        <v>211</v>
      </c>
      <c r="E128">
        <v>42887</v>
      </c>
      <c r="F128">
        <v>66</v>
      </c>
      <c r="G128">
        <v>46</v>
      </c>
      <c r="H128">
        <v>0</v>
      </c>
      <c r="I128">
        <v>0</v>
      </c>
      <c r="J128">
        <v>0</v>
      </c>
      <c r="K128" s="5">
        <v>64.98</v>
      </c>
      <c r="L128">
        <v>7000</v>
      </c>
      <c r="M128">
        <v>0</v>
      </c>
      <c r="N128">
        <v>0</v>
      </c>
      <c r="O128">
        <v>1</v>
      </c>
    </row>
    <row r="129" spans="1:15" x14ac:dyDescent="0.2">
      <c r="A129" t="s">
        <v>189</v>
      </c>
      <c r="B129" t="s">
        <v>21</v>
      </c>
      <c r="C129">
        <v>79248424</v>
      </c>
      <c r="D129" t="s">
        <v>211</v>
      </c>
      <c r="E129">
        <v>67848</v>
      </c>
      <c r="F129">
        <v>66</v>
      </c>
      <c r="G129">
        <v>54</v>
      </c>
      <c r="H129">
        <v>0</v>
      </c>
      <c r="I129">
        <v>0</v>
      </c>
      <c r="J129">
        <v>0</v>
      </c>
      <c r="K129" s="5">
        <v>102.8</v>
      </c>
      <c r="L129">
        <v>68000</v>
      </c>
      <c r="M129">
        <v>0</v>
      </c>
      <c r="N129">
        <v>17000</v>
      </c>
      <c r="O129">
        <v>1</v>
      </c>
    </row>
    <row r="130" spans="1:15" x14ac:dyDescent="0.2">
      <c r="A130" t="s">
        <v>184</v>
      </c>
      <c r="B130" t="s">
        <v>21</v>
      </c>
      <c r="C130">
        <v>76955811</v>
      </c>
      <c r="D130" t="s">
        <v>211</v>
      </c>
      <c r="E130">
        <v>53607</v>
      </c>
      <c r="F130">
        <v>74</v>
      </c>
      <c r="G130">
        <v>46</v>
      </c>
      <c r="H130">
        <v>0</v>
      </c>
      <c r="I130">
        <v>0</v>
      </c>
      <c r="J130">
        <v>0</v>
      </c>
      <c r="K130" s="5">
        <v>72.44</v>
      </c>
      <c r="L130">
        <v>7000</v>
      </c>
      <c r="M130">
        <v>0</v>
      </c>
      <c r="N130">
        <v>0</v>
      </c>
      <c r="O130">
        <v>1</v>
      </c>
    </row>
    <row r="131" spans="1:15" x14ac:dyDescent="0.2">
      <c r="A131" t="s">
        <v>200</v>
      </c>
      <c r="B131" t="s">
        <v>21</v>
      </c>
      <c r="C131">
        <v>88859729</v>
      </c>
      <c r="D131" t="s">
        <v>211</v>
      </c>
      <c r="E131">
        <v>84745</v>
      </c>
      <c r="F131">
        <v>78</v>
      </c>
      <c r="G131">
        <v>50</v>
      </c>
      <c r="H131">
        <v>0</v>
      </c>
      <c r="I131">
        <v>0</v>
      </c>
      <c r="J131">
        <v>0</v>
      </c>
      <c r="K131" s="5">
        <v>108.65</v>
      </c>
      <c r="L131">
        <v>68000</v>
      </c>
      <c r="M131">
        <v>0</v>
      </c>
      <c r="N131">
        <v>17000</v>
      </c>
      <c r="O131">
        <v>1</v>
      </c>
    </row>
    <row r="132" spans="1:15" x14ac:dyDescent="0.2">
      <c r="A132" t="s">
        <v>188</v>
      </c>
      <c r="B132" t="s">
        <v>21</v>
      </c>
      <c r="C132">
        <v>79109848</v>
      </c>
      <c r="D132" t="s">
        <v>213</v>
      </c>
      <c r="E132">
        <v>56098</v>
      </c>
      <c r="F132">
        <v>57</v>
      </c>
      <c r="G132">
        <v>47</v>
      </c>
      <c r="H132">
        <v>0</v>
      </c>
      <c r="I132">
        <v>0</v>
      </c>
      <c r="J132">
        <v>0</v>
      </c>
      <c r="K132" s="5">
        <v>98.42</v>
      </c>
      <c r="L132">
        <v>54000</v>
      </c>
      <c r="M132">
        <v>0</v>
      </c>
      <c r="N132">
        <v>13500</v>
      </c>
      <c r="O132">
        <v>1</v>
      </c>
    </row>
    <row r="133" spans="1:15" x14ac:dyDescent="0.2">
      <c r="A133" t="s">
        <v>196</v>
      </c>
      <c r="B133" t="s">
        <v>21</v>
      </c>
      <c r="C133">
        <v>85320345</v>
      </c>
      <c r="D133" t="s">
        <v>212</v>
      </c>
      <c r="E133">
        <v>42418</v>
      </c>
      <c r="F133">
        <v>49</v>
      </c>
      <c r="G133">
        <v>63</v>
      </c>
      <c r="H133">
        <v>0</v>
      </c>
      <c r="I133">
        <v>0</v>
      </c>
      <c r="J133">
        <v>2</v>
      </c>
      <c r="K133" s="5">
        <v>86.57</v>
      </c>
      <c r="L133">
        <v>30000</v>
      </c>
      <c r="M133">
        <v>0</v>
      </c>
      <c r="N133">
        <v>7500</v>
      </c>
      <c r="O133">
        <v>1</v>
      </c>
    </row>
    <row r="134" spans="1:15" x14ac:dyDescent="0.2">
      <c r="A134" t="s">
        <v>193</v>
      </c>
      <c r="B134" t="s">
        <v>21</v>
      </c>
      <c r="C134">
        <v>81728268</v>
      </c>
      <c r="D134" t="s">
        <v>211</v>
      </c>
      <c r="E134">
        <v>78745</v>
      </c>
      <c r="F134">
        <v>80</v>
      </c>
      <c r="G134">
        <v>40</v>
      </c>
      <c r="H134">
        <v>0</v>
      </c>
      <c r="I134">
        <v>0</v>
      </c>
      <c r="J134">
        <v>0</v>
      </c>
      <c r="K134" s="5">
        <v>98.43</v>
      </c>
      <c r="L134">
        <v>54000</v>
      </c>
      <c r="M134">
        <v>0</v>
      </c>
      <c r="N134">
        <v>13500</v>
      </c>
      <c r="O134">
        <v>1</v>
      </c>
    </row>
    <row r="135" spans="1:15" x14ac:dyDescent="0.2">
      <c r="A135" t="s">
        <v>202</v>
      </c>
      <c r="B135" t="s">
        <v>21</v>
      </c>
      <c r="C135">
        <v>123264123</v>
      </c>
      <c r="D135" t="s">
        <v>213</v>
      </c>
      <c r="E135">
        <v>0</v>
      </c>
      <c r="F135">
        <v>128</v>
      </c>
      <c r="G135">
        <v>0</v>
      </c>
      <c r="H135">
        <v>0</v>
      </c>
      <c r="I135">
        <v>0</v>
      </c>
      <c r="J135">
        <v>0</v>
      </c>
      <c r="K135" s="5">
        <v>0</v>
      </c>
      <c r="L135">
        <v>7000</v>
      </c>
      <c r="M135">
        <v>0</v>
      </c>
      <c r="N135">
        <v>0</v>
      </c>
      <c r="O135">
        <v>1</v>
      </c>
    </row>
    <row r="136" spans="1:15" x14ac:dyDescent="0.2">
      <c r="A136" t="s">
        <v>185</v>
      </c>
      <c r="B136" t="s">
        <v>21</v>
      </c>
      <c r="C136">
        <v>78167801</v>
      </c>
      <c r="D136" t="s">
        <v>211</v>
      </c>
      <c r="E136">
        <v>41190</v>
      </c>
      <c r="F136">
        <v>63</v>
      </c>
      <c r="G136">
        <v>33</v>
      </c>
      <c r="H136">
        <v>0</v>
      </c>
      <c r="I136">
        <v>0</v>
      </c>
      <c r="J136">
        <v>2</v>
      </c>
      <c r="K136" s="5">
        <v>65.38</v>
      </c>
      <c r="L136">
        <v>7000</v>
      </c>
      <c r="M136">
        <v>0</v>
      </c>
      <c r="N136">
        <v>0</v>
      </c>
      <c r="O136">
        <v>1</v>
      </c>
    </row>
    <row r="137" spans="1:15" x14ac:dyDescent="0.2">
      <c r="A137" t="s">
        <v>197</v>
      </c>
      <c r="B137" t="s">
        <v>21</v>
      </c>
      <c r="C137">
        <v>87263608</v>
      </c>
      <c r="D137" t="s">
        <v>212</v>
      </c>
      <c r="E137">
        <v>84278</v>
      </c>
      <c r="F137">
        <v>79.75</v>
      </c>
      <c r="G137">
        <v>40.25</v>
      </c>
      <c r="H137">
        <v>0</v>
      </c>
      <c r="I137">
        <v>0</v>
      </c>
      <c r="J137">
        <v>0</v>
      </c>
      <c r="K137" s="5">
        <v>105.68</v>
      </c>
      <c r="L137">
        <v>68000</v>
      </c>
      <c r="M137">
        <v>0</v>
      </c>
      <c r="N137">
        <v>17000</v>
      </c>
      <c r="O137">
        <v>1</v>
      </c>
    </row>
    <row r="138" spans="1:15" x14ac:dyDescent="0.2">
      <c r="A138" t="s">
        <v>190</v>
      </c>
      <c r="B138" t="s">
        <v>21</v>
      </c>
      <c r="C138">
        <v>80603016</v>
      </c>
      <c r="D138" t="s">
        <v>213</v>
      </c>
      <c r="E138">
        <v>49681</v>
      </c>
      <c r="F138">
        <v>70</v>
      </c>
      <c r="G138">
        <v>50</v>
      </c>
      <c r="H138">
        <v>0</v>
      </c>
      <c r="I138">
        <v>0</v>
      </c>
      <c r="J138">
        <v>0</v>
      </c>
      <c r="K138" s="5">
        <v>70.97</v>
      </c>
      <c r="L138">
        <v>7000</v>
      </c>
      <c r="M138">
        <v>0</v>
      </c>
      <c r="N138">
        <v>0</v>
      </c>
      <c r="O138">
        <v>1</v>
      </c>
    </row>
    <row r="139" spans="1:15" x14ac:dyDescent="0.2">
      <c r="A139" t="s">
        <v>194</v>
      </c>
      <c r="B139" t="s">
        <v>21</v>
      </c>
      <c r="C139">
        <v>82445203</v>
      </c>
      <c r="D139" t="s">
        <v>213</v>
      </c>
      <c r="E139">
        <v>49349</v>
      </c>
      <c r="F139">
        <v>95</v>
      </c>
      <c r="G139">
        <v>25</v>
      </c>
      <c r="H139">
        <v>0</v>
      </c>
      <c r="I139">
        <v>0</v>
      </c>
      <c r="J139">
        <v>0</v>
      </c>
      <c r="K139" s="5">
        <v>51.95</v>
      </c>
      <c r="L139">
        <v>7000</v>
      </c>
      <c r="M139">
        <v>0</v>
      </c>
      <c r="N139">
        <v>0</v>
      </c>
      <c r="O139">
        <v>1</v>
      </c>
    </row>
    <row r="140" spans="1:15" x14ac:dyDescent="0.2">
      <c r="A140" t="s">
        <v>182</v>
      </c>
      <c r="B140" t="s">
        <v>21</v>
      </c>
      <c r="C140">
        <v>74771417</v>
      </c>
      <c r="D140" t="s">
        <v>211</v>
      </c>
      <c r="E140">
        <v>46183</v>
      </c>
      <c r="F140">
        <v>48</v>
      </c>
      <c r="G140">
        <v>48</v>
      </c>
      <c r="H140">
        <v>0</v>
      </c>
      <c r="I140">
        <v>0</v>
      </c>
      <c r="J140">
        <v>0</v>
      </c>
      <c r="K140" s="5">
        <v>96.21</v>
      </c>
      <c r="L140">
        <v>54000</v>
      </c>
      <c r="M140">
        <v>0</v>
      </c>
      <c r="N140">
        <v>13500</v>
      </c>
      <c r="O140">
        <v>1</v>
      </c>
    </row>
    <row r="141" spans="1:15" x14ac:dyDescent="0.2">
      <c r="A141" t="s">
        <v>198</v>
      </c>
      <c r="B141" t="s">
        <v>21</v>
      </c>
      <c r="C141">
        <v>88423964</v>
      </c>
      <c r="D141" t="s">
        <v>211</v>
      </c>
      <c r="E141">
        <v>39763</v>
      </c>
      <c r="F141">
        <v>43</v>
      </c>
      <c r="G141">
        <v>53</v>
      </c>
      <c r="H141">
        <v>0</v>
      </c>
      <c r="I141">
        <v>0</v>
      </c>
      <c r="J141">
        <v>4</v>
      </c>
      <c r="K141" s="5">
        <v>92.47</v>
      </c>
      <c r="L141">
        <v>0</v>
      </c>
      <c r="M141">
        <v>0</v>
      </c>
      <c r="N141">
        <v>0</v>
      </c>
      <c r="O141">
        <v>0</v>
      </c>
    </row>
    <row r="142" spans="1:15" x14ac:dyDescent="0.2">
      <c r="A142" t="s">
        <v>195</v>
      </c>
      <c r="B142" t="s">
        <v>21</v>
      </c>
      <c r="C142">
        <v>83884151</v>
      </c>
      <c r="D142" t="s">
        <v>213</v>
      </c>
      <c r="E142">
        <v>65412</v>
      </c>
      <c r="F142">
        <v>87</v>
      </c>
      <c r="G142">
        <v>41</v>
      </c>
      <c r="H142">
        <v>0</v>
      </c>
      <c r="I142">
        <v>0</v>
      </c>
      <c r="J142">
        <v>0</v>
      </c>
      <c r="K142" s="5">
        <v>75.19</v>
      </c>
      <c r="L142">
        <v>7000</v>
      </c>
      <c r="M142">
        <v>0</v>
      </c>
      <c r="N142">
        <v>0</v>
      </c>
      <c r="O142">
        <v>1</v>
      </c>
    </row>
    <row r="143" spans="1:15" x14ac:dyDescent="0.2">
      <c r="A143" t="s">
        <v>183</v>
      </c>
      <c r="B143" t="s">
        <v>21</v>
      </c>
      <c r="C143">
        <v>76619902</v>
      </c>
      <c r="D143" t="s">
        <v>213</v>
      </c>
      <c r="E143">
        <v>52254</v>
      </c>
      <c r="F143">
        <v>94</v>
      </c>
      <c r="G143">
        <v>18</v>
      </c>
      <c r="H143">
        <v>0</v>
      </c>
      <c r="I143">
        <v>0</v>
      </c>
      <c r="J143">
        <v>0</v>
      </c>
      <c r="K143" s="5">
        <v>55.59</v>
      </c>
      <c r="L143">
        <v>7000</v>
      </c>
      <c r="M143">
        <v>0</v>
      </c>
      <c r="N143">
        <v>0</v>
      </c>
      <c r="O143">
        <v>1</v>
      </c>
    </row>
    <row r="144" spans="1:15" x14ac:dyDescent="0.2">
      <c r="A144" t="s">
        <v>191</v>
      </c>
      <c r="B144" t="s">
        <v>21</v>
      </c>
      <c r="C144">
        <v>81344316</v>
      </c>
      <c r="D144" t="s">
        <v>211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16</v>
      </c>
      <c r="K144" s="5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">
      <c r="A145" t="s">
        <v>199</v>
      </c>
      <c r="B145" t="s">
        <v>21</v>
      </c>
      <c r="C145">
        <v>88833817</v>
      </c>
      <c r="D145" t="s">
        <v>213</v>
      </c>
      <c r="E145">
        <v>32570</v>
      </c>
      <c r="F145">
        <v>49</v>
      </c>
      <c r="G145">
        <v>39</v>
      </c>
      <c r="H145">
        <v>0</v>
      </c>
      <c r="I145">
        <v>0</v>
      </c>
      <c r="J145">
        <v>1</v>
      </c>
      <c r="K145" s="5">
        <v>66.47</v>
      </c>
      <c r="L145">
        <v>7000</v>
      </c>
      <c r="M145">
        <v>0</v>
      </c>
      <c r="N145">
        <v>0</v>
      </c>
      <c r="O145">
        <v>1</v>
      </c>
    </row>
    <row r="146" spans="1:15" x14ac:dyDescent="0.2">
      <c r="A146" t="s">
        <v>201</v>
      </c>
      <c r="B146" t="s">
        <v>21</v>
      </c>
      <c r="C146">
        <v>121171603</v>
      </c>
      <c r="D146" t="s">
        <v>213</v>
      </c>
      <c r="E146">
        <v>38981</v>
      </c>
      <c r="F146">
        <v>105</v>
      </c>
      <c r="G146">
        <v>23</v>
      </c>
      <c r="H146">
        <v>0</v>
      </c>
      <c r="I146">
        <v>0</v>
      </c>
      <c r="J146">
        <v>0</v>
      </c>
      <c r="K146" s="5">
        <v>37.119999999999997</v>
      </c>
      <c r="L146">
        <v>7000</v>
      </c>
      <c r="M146">
        <v>0</v>
      </c>
      <c r="N146">
        <v>0</v>
      </c>
      <c r="O146">
        <v>1</v>
      </c>
    </row>
    <row r="147" spans="1:15" x14ac:dyDescent="0.2">
      <c r="A147" t="s">
        <v>187</v>
      </c>
      <c r="B147" t="s">
        <v>21</v>
      </c>
      <c r="C147">
        <v>79054243</v>
      </c>
      <c r="D147" t="s">
        <v>212</v>
      </c>
      <c r="E147">
        <v>72986</v>
      </c>
      <c r="F147">
        <v>65</v>
      </c>
      <c r="G147">
        <v>63</v>
      </c>
      <c r="H147">
        <v>0</v>
      </c>
      <c r="I147">
        <v>0</v>
      </c>
      <c r="J147">
        <v>0</v>
      </c>
      <c r="K147" s="5">
        <v>112.29</v>
      </c>
      <c r="L147">
        <v>68000</v>
      </c>
      <c r="M147">
        <v>0</v>
      </c>
      <c r="N147">
        <v>17000</v>
      </c>
      <c r="O1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egyéni teljesítményszázalékok</vt:lpstr>
      <vt:lpstr>monthly supplements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Fruzsina</dc:creator>
  <cp:lastModifiedBy>Aleksei Boltonosov</cp:lastModifiedBy>
  <dcterms:created xsi:type="dcterms:W3CDTF">2024-12-20T11:42:17Z</dcterms:created>
  <dcterms:modified xsi:type="dcterms:W3CDTF">2025-02-01T20:27:01Z</dcterms:modified>
</cp:coreProperties>
</file>